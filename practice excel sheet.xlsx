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e832c115428190cc/Desktop/"/>
    </mc:Choice>
  </mc:AlternateContent>
  <xr:revisionPtr revIDLastSave="0" documentId="8_{E01946B7-C6DF-4B59-84B6-0F574BAD8A03}" xr6:coauthVersionLast="47" xr6:coauthVersionMax="47" xr10:uidLastSave="{00000000-0000-0000-0000-000000000000}"/>
  <bookViews>
    <workbookView xWindow="-108" yWindow="-108" windowWidth="23256" windowHeight="12456" xr2:uid="{8338B6D9-2E11-4D31-B542-90075489D299}"/>
  </bookViews>
  <sheets>
    <sheet name="basic" sheetId="1" r:id="rId1"/>
    <sheet name="live modify chart" sheetId="2" r:id="rId2"/>
    <sheet name="CALENDER IN EXCEL" sheetId="3" r:id="rId3"/>
  </sheets>
  <definedNames>
    <definedName name="Slicer_EXPENSE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0" i="3" l="1"/>
  <c r="L31" i="3"/>
  <c r="L32" i="3"/>
  <c r="L33" i="3"/>
  <c r="L34" i="3"/>
  <c r="L29" i="3"/>
  <c r="O21" i="3"/>
  <c r="Q20" i="3"/>
  <c r="O20" i="3"/>
  <c r="M22" i="3"/>
  <c r="M20" i="3"/>
  <c r="M21" i="3"/>
  <c r="J21" i="3"/>
  <c r="Q7" i="3"/>
  <c r="O7" i="3" a="1"/>
  <c r="O7" i="3" s="1"/>
  <c r="N7" i="3" a="1"/>
  <c r="N7" i="3" s="1"/>
  <c r="F8" i="3"/>
  <c r="F9" i="3"/>
  <c r="F10" i="3"/>
  <c r="F11" i="3"/>
  <c r="F12" i="3"/>
  <c r="F13" i="3"/>
  <c r="F14" i="3"/>
  <c r="F15" i="3"/>
  <c r="F7" i="3"/>
  <c r="L7" i="3" a="1"/>
  <c r="L7" i="3" s="1"/>
  <c r="J7" i="3"/>
  <c r="H7" i="3"/>
  <c r="V26" i="2"/>
  <c r="V27" i="2"/>
  <c r="V28" i="2"/>
  <c r="V29" i="2"/>
  <c r="V30" i="2"/>
  <c r="V31" i="2"/>
  <c r="V32" i="2"/>
  <c r="V33" i="2"/>
  <c r="V34" i="2"/>
  <c r="V35" i="2"/>
  <c r="V36" i="2"/>
  <c r="V25" i="2"/>
  <c r="S27" i="2"/>
  <c r="S28" i="2"/>
  <c r="S29" i="2"/>
  <c r="S30" i="2"/>
  <c r="S31" i="2"/>
  <c r="S32" i="2"/>
  <c r="S33" i="2"/>
  <c r="S34" i="2"/>
  <c r="S35" i="2"/>
  <c r="S36" i="2"/>
  <c r="S26" i="2"/>
  <c r="P27" i="2"/>
  <c r="P28" i="2"/>
  <c r="P29" i="2"/>
  <c r="P30" i="2"/>
  <c r="P31" i="2"/>
  <c r="P32" i="2"/>
  <c r="P33" i="2"/>
  <c r="P34" i="2"/>
  <c r="P35" i="2"/>
  <c r="P36" i="2"/>
  <c r="P26" i="2"/>
  <c r="O27" i="2"/>
  <c r="O28" i="2"/>
  <c r="O29" i="2"/>
  <c r="O30" i="2"/>
  <c r="O31" i="2"/>
  <c r="O32" i="2"/>
  <c r="O33" i="2"/>
  <c r="O34" i="2"/>
  <c r="O35" i="2"/>
  <c r="O36" i="2"/>
  <c r="O26" i="2"/>
  <c r="N26" i="2"/>
  <c r="M26" i="2"/>
  <c r="L30" i="2"/>
  <c r="L31" i="2"/>
  <c r="L32" i="2"/>
  <c r="L33" i="2"/>
  <c r="L34" i="2"/>
  <c r="L35" i="2"/>
  <c r="L36" i="2"/>
  <c r="L27" i="2"/>
  <c r="L28" i="2"/>
  <c r="L29" i="2"/>
  <c r="L26" i="2"/>
  <c r="K26" i="2"/>
  <c r="I27" i="2"/>
  <c r="I28" i="2"/>
  <c r="I29" i="2"/>
  <c r="I30" i="2"/>
  <c r="I31" i="2"/>
  <c r="I32" i="2"/>
  <c r="I33" i="2"/>
  <c r="I34" i="2"/>
  <c r="I35" i="2"/>
  <c r="I36" i="2"/>
  <c r="H26" i="2"/>
  <c r="G26" i="2"/>
  <c r="F27" i="2"/>
  <c r="F28" i="2"/>
  <c r="F29" i="2"/>
  <c r="F30" i="2"/>
  <c r="F31" i="2"/>
  <c r="F32" i="2"/>
  <c r="F33" i="2"/>
  <c r="F34" i="2"/>
  <c r="F35" i="2"/>
  <c r="F36" i="2"/>
  <c r="F26" i="2"/>
  <c r="C26" i="1" a="1"/>
  <c r="C26" i="1" s="1"/>
  <c r="D17" i="1"/>
  <c r="D16" i="1"/>
  <c r="D18"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<sst xmlns="http://schemas.openxmlformats.org/spreadsheetml/2006/main" count="164" uniqueCount="117">
  <si>
    <t>EXPENSES</t>
  </si>
  <si>
    <t>DATE</t>
  </si>
  <si>
    <t>CATEGORY</t>
  </si>
  <si>
    <t>ITEMS</t>
  </si>
  <si>
    <t>AMOUNT</t>
  </si>
  <si>
    <t>MAJOR EXPENSES</t>
  </si>
  <si>
    <t>utilites</t>
  </si>
  <si>
    <t>rent</t>
  </si>
  <si>
    <t>food</t>
  </si>
  <si>
    <t>gas bills</t>
  </si>
  <si>
    <t>home rent</t>
  </si>
  <si>
    <t>groceries</t>
  </si>
  <si>
    <t>phone bill</t>
  </si>
  <si>
    <t>wifi bill</t>
  </si>
  <si>
    <t>fruits</t>
  </si>
  <si>
    <t>vegetable</t>
  </si>
  <si>
    <t>water bill</t>
  </si>
  <si>
    <t>burger</t>
  </si>
  <si>
    <t>bakery</t>
  </si>
  <si>
    <t>sarvana</t>
  </si>
  <si>
    <t>pizza</t>
  </si>
  <si>
    <t>Column1</t>
  </si>
  <si>
    <t>Column2</t>
  </si>
  <si>
    <t>Column3</t>
  </si>
  <si>
    <t>Column4</t>
  </si>
  <si>
    <t>Column5</t>
  </si>
  <si>
    <t>AVERAGE</t>
  </si>
  <si>
    <t>SUM</t>
  </si>
  <si>
    <t>yes</t>
  </si>
  <si>
    <t>no</t>
  </si>
  <si>
    <t>RANGE OF TABLE</t>
  </si>
  <si>
    <t>COMPANY</t>
  </si>
  <si>
    <t>REVENUE</t>
  </si>
  <si>
    <t>PROFIT</t>
  </si>
  <si>
    <t>TATA MOTORS</t>
  </si>
  <si>
    <t>RELIANCE</t>
  </si>
  <si>
    <t>TESLA</t>
  </si>
  <si>
    <t>GOOGLE</t>
  </si>
  <si>
    <t>ADAANI</t>
  </si>
  <si>
    <t>JIO</t>
  </si>
  <si>
    <t>BILL NO</t>
  </si>
  <si>
    <t>PRODUCT</t>
  </si>
  <si>
    <t>QTY</t>
  </si>
  <si>
    <t>RATE</t>
  </si>
  <si>
    <t>product</t>
  </si>
  <si>
    <t>ax-01</t>
  </si>
  <si>
    <t>ax-05</t>
  </si>
  <si>
    <t>ax-07</t>
  </si>
  <si>
    <t>ax-11</t>
  </si>
  <si>
    <t>JEANS</t>
  </si>
  <si>
    <t>T-SHIRT</t>
  </si>
  <si>
    <t>COAT</t>
  </si>
  <si>
    <t>PANTS</t>
  </si>
  <si>
    <t>TROUSER</t>
  </si>
  <si>
    <t>SWEATER</t>
  </si>
  <si>
    <t>DRESS</t>
  </si>
  <si>
    <t>CHUNNI</t>
  </si>
  <si>
    <t>HAT</t>
  </si>
  <si>
    <t>BAG</t>
  </si>
  <si>
    <t>MAX RATE</t>
  </si>
  <si>
    <t>MIN RATE</t>
  </si>
  <si>
    <t>ax-063</t>
  </si>
  <si>
    <t>ax-0844</t>
  </si>
  <si>
    <t>ax-0956</t>
  </si>
  <si>
    <t>ax-104</t>
  </si>
  <si>
    <t>ax-04666</t>
  </si>
  <si>
    <t>ax-0782</t>
  </si>
  <si>
    <t>ax-0388</t>
  </si>
  <si>
    <t>LENGTH OF BILL NO</t>
  </si>
  <si>
    <t>COUNT</t>
  </si>
  <si>
    <t>COUNTA</t>
  </si>
  <si>
    <t>AVG RATE</t>
  </si>
  <si>
    <t>AVG PRODUCT</t>
  </si>
  <si>
    <t>FIRST LETTER CAP</t>
  </si>
  <si>
    <t>PROPER</t>
  </si>
  <si>
    <t>LOWER CASE</t>
  </si>
  <si>
    <t>ALL LETTERS LOWER CASE</t>
  </si>
  <si>
    <t>UPPERCASE</t>
  </si>
  <si>
    <t>ALL LETTERS UPPER CASE</t>
  </si>
  <si>
    <t>CONCATENATE</t>
  </si>
  <si>
    <t>TOTAL SALES</t>
  </si>
  <si>
    <t>washing machine</t>
  </si>
  <si>
    <t>utensils</t>
  </si>
  <si>
    <t>silver</t>
  </si>
  <si>
    <t>gold</t>
  </si>
  <si>
    <t>sugar</t>
  </si>
  <si>
    <t>curd</t>
  </si>
  <si>
    <t>bags</t>
  </si>
  <si>
    <t>jaggery</t>
  </si>
  <si>
    <t>turmeric</t>
  </si>
  <si>
    <t>LARGE</t>
  </si>
  <si>
    <t>SMALL</t>
  </si>
  <si>
    <t>ROMAN</t>
  </si>
  <si>
    <t>PRICES</t>
  </si>
  <si>
    <t>LEFT</t>
  </si>
  <si>
    <t>RIGHT</t>
  </si>
  <si>
    <t>COUNT BLANK</t>
  </si>
  <si>
    <t>NOW</t>
  </si>
  <si>
    <t>DAY</t>
  </si>
  <si>
    <t>YESTERDAY</t>
  </si>
  <si>
    <t>TODAY</t>
  </si>
  <si>
    <t>TOMORROW</t>
  </si>
  <si>
    <t>TIME</t>
  </si>
  <si>
    <t>MONTH</t>
  </si>
  <si>
    <t>MONTHS</t>
  </si>
  <si>
    <t>NO OF DAYS</t>
  </si>
  <si>
    <t>COUNT BANK</t>
  </si>
  <si>
    <t>DAY AND DATE</t>
  </si>
  <si>
    <t>NO OF DAYS WITH MONTHS</t>
  </si>
  <si>
    <t>LENGTH OF STRING</t>
  </si>
  <si>
    <t xml:space="preserve"> AVG RATE</t>
  </si>
  <si>
    <t>AVG PROD</t>
  </si>
  <si>
    <t>UPPER CASE</t>
  </si>
  <si>
    <t>CONCAT</t>
  </si>
  <si>
    <t>RANGE OF A TABLE</t>
  </si>
  <si>
    <t>DIFFERENT CHARS</t>
  </si>
  <si>
    <t>AIRTEL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</si>
</sst>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b/>
      <sz val="11"/>
      <color theme="1"/>
      <name val="Calibri"/>
      <family val="2"/>
      <scheme val="minor"/>
    </font>
    <font>
      <b/>
      <sz val="11"/>
      <color theme="5"/>
      <name val="Calibri"/>
      <family val="2"/>
      <scheme val="minor"/>
    </font>
    <font>
      <b/>
      <sz val="11"/>
      <color rgb="FFFF0000"/>
      <name val="Calibri"/>
      <family val="2"/>
      <scheme val="minor"/>
    </font>
    <font>
      <sz val="8"/>
      <name val="Calibri"/>
      <family val="2"/>
      <scheme val="minor"/>
    </font>
    <font>
      <sz val="11"/>
      <color rgb="FFFF0000"/>
      <name val="Calibri"/>
      <family val="2"/>
      <scheme val="minor"/>
    </font>
    <font>
      <b/>
      <sz val="11"/>
      <color theme="5" tint="-0.249977111117893"/>
      <name val="Calibri"/>
      <family val="2"/>
      <scheme val="minor"/>
    </font>
    <font>
      <sz val="11"/>
      <color theme="5" tint="-0.249977111117893"/>
      <name val="Calibri"/>
      <family val="2"/>
      <scheme val="minor"/>
    </font>
    <font>
      <sz val="11"/>
      <color theme="7" tint="-0.249977111117893"/>
      <name val="Calibri"/>
      <family val="2"/>
      <scheme val="minor"/>
    </font>
    <font>
      <b/>
      <sz val="11"/>
      <color theme="3"/>
      <name val="Calibri"/>
      <family val="2"/>
      <scheme val="minor"/>
    </font>
    <font>
      <sz val="11"/>
      <color theme="4" tint="-0.249977111117893"/>
      <name val="Calibri"/>
      <family val="2"/>
      <scheme val="minor"/>
    </font>
    <font>
      <sz val="11"/>
      <color theme="7" tint="-0.499984740745262"/>
      <name val="Calibri"/>
      <family val="2"/>
      <scheme val="minor"/>
    </font>
    <font>
      <sz val="11"/>
      <color theme="4"/>
      <name val="Calibri"/>
      <family val="2"/>
      <scheme val="minor"/>
    </font>
    <font>
      <b/>
      <sz val="11"/>
      <color theme="4"/>
      <name val="Calibri"/>
      <family val="2"/>
      <scheme val="minor"/>
    </font>
    <font>
      <b/>
      <sz val="16"/>
      <color theme="1"/>
      <name val="Calibri"/>
      <family val="2"/>
      <scheme val="minor"/>
    </font>
    <font>
      <b/>
      <i/>
      <sz val="16"/>
      <color theme="1"/>
      <name val="Calibri"/>
      <family val="2"/>
      <scheme val="minor"/>
    </font>
    <font>
      <b/>
      <i/>
      <u/>
      <sz val="12"/>
      <color theme="1"/>
      <name val="Arial Narrow"/>
      <family val="2"/>
    </font>
    <font>
      <b/>
      <sz val="12"/>
      <color theme="1"/>
      <name val="Calibri"/>
      <family val="2"/>
      <scheme val="minor"/>
    </font>
    <font>
      <b/>
      <i/>
      <sz val="20"/>
      <color theme="1"/>
      <name val="Calibri"/>
      <family val="2"/>
      <scheme val="minor"/>
    </font>
  </fonts>
  <fills count="23">
    <fill>
      <patternFill patternType="none"/>
    </fill>
    <fill>
      <patternFill patternType="gray125"/>
    </fill>
    <fill>
      <patternFill patternType="solid">
        <fgColor theme="4"/>
        <bgColor indexed="64"/>
      </patternFill>
    </fill>
    <fill>
      <patternFill patternType="solid">
        <fgColor theme="7"/>
        <bgColor indexed="64"/>
      </patternFill>
    </fill>
    <fill>
      <patternFill patternType="solid">
        <fgColor rgb="FFFFFF00"/>
        <bgColor indexed="64"/>
      </patternFill>
    </fill>
    <fill>
      <patternFill patternType="solid">
        <fgColor rgb="FF00B0F0"/>
        <bgColor indexed="64"/>
      </patternFill>
    </fill>
    <fill>
      <patternFill patternType="solid">
        <fgColor theme="9"/>
        <bgColor indexed="64"/>
      </patternFill>
    </fill>
    <fill>
      <patternFill patternType="solid">
        <fgColor theme="2" tint="-9.9978637043366805E-2"/>
        <bgColor indexed="64"/>
      </patternFill>
    </fill>
    <fill>
      <patternFill patternType="solid">
        <fgColor theme="5"/>
        <bgColor indexed="64"/>
      </patternFill>
    </fill>
    <fill>
      <patternFill patternType="solid">
        <fgColor theme="4" tint="0.39997558519241921"/>
        <bgColor indexed="64"/>
      </patternFill>
    </fill>
    <fill>
      <patternFill patternType="solid">
        <fgColor theme="6" tint="-0.249977111117893"/>
        <bgColor indexed="64"/>
      </patternFill>
    </fill>
    <fill>
      <patternFill patternType="solid">
        <fgColor theme="0" tint="-0.14999847407452621"/>
        <bgColor indexed="64"/>
      </patternFill>
    </fill>
    <fill>
      <patternFill patternType="solid">
        <fgColor theme="8" tint="-0.249977111117893"/>
        <bgColor indexed="64"/>
      </patternFill>
    </fill>
    <fill>
      <patternFill patternType="solid">
        <fgColor theme="1" tint="0.34998626667073579"/>
        <bgColor indexed="64"/>
      </patternFill>
    </fill>
    <fill>
      <patternFill patternType="solid">
        <fgColor theme="5" tint="-0.249977111117893"/>
        <bgColor indexed="64"/>
      </patternFill>
    </fill>
    <fill>
      <patternFill patternType="solid">
        <fgColor theme="7" tint="0.39997558519241921"/>
        <bgColor indexed="64"/>
      </patternFill>
    </fill>
    <fill>
      <patternFill patternType="solid">
        <fgColor theme="3" tint="0.39997558519241921"/>
        <bgColor indexed="64"/>
      </patternFill>
    </fill>
    <fill>
      <patternFill patternType="solid">
        <fgColor theme="4" tint="-0.249977111117893"/>
        <bgColor indexed="64"/>
      </patternFill>
    </fill>
    <fill>
      <patternFill patternType="solid">
        <fgColor rgb="FF002060"/>
        <bgColor indexed="64"/>
      </patternFill>
    </fill>
    <fill>
      <patternFill patternType="solid">
        <fgColor theme="5" tint="0.39997558519241921"/>
        <bgColor indexed="64"/>
      </patternFill>
    </fill>
    <fill>
      <patternFill patternType="solid">
        <fgColor theme="1" tint="0.14999847407452621"/>
        <bgColor indexed="64"/>
      </patternFill>
    </fill>
    <fill>
      <patternFill patternType="solid">
        <fgColor theme="9" tint="-0.249977111117893"/>
        <bgColor indexed="64"/>
      </patternFill>
    </fill>
    <fill>
      <patternFill patternType="solid">
        <fgColor theme="4" tint="0.59999389629810485"/>
        <bgColor indexed="64"/>
      </patternFill>
    </fill>
  </fills>
  <borders count="2">
    <border>
      <left/>
      <right/>
      <top/>
      <bottom/>
      <diagonal/>
    </border>
    <border>
      <left/>
      <right/>
      <top style="double">
        <color theme="4"/>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48">
    <xf numFmtId="0" fontId="0" fillId="0" borderId="0" xfId="0"/>
    <xf numFmtId="0" fontId="4" fillId="3" borderId="0" xfId="0" applyFont="1" applyFill="1" applyAlignment="1">
      <alignment horizontal="left" vertical="center" indent="1"/>
    </xf>
    <xf numFmtId="14" fontId="3" fillId="2" borderId="0" xfId="0" applyNumberFormat="1" applyFont="1" applyFill="1" applyAlignment="1">
      <alignment horizontal="left" indent="1"/>
    </xf>
    <xf numFmtId="0" fontId="3" fillId="2" borderId="0" xfId="0" applyFont="1" applyFill="1" applyAlignment="1">
      <alignment horizontal="left" indent="1"/>
    </xf>
    <xf numFmtId="14" fontId="0" fillId="0" borderId="0" xfId="0" applyNumberFormat="1" applyAlignment="1">
      <alignment horizontal="left" indent="1"/>
    </xf>
    <xf numFmtId="0" fontId="0" fillId="0" borderId="0" xfId="0" applyAlignment="1">
      <alignment horizontal="left" indent="1"/>
    </xf>
    <xf numFmtId="9" fontId="0" fillId="0" borderId="0" xfId="1" quotePrefix="1" applyFont="1" applyAlignment="1">
      <alignment horizontal="left" indent="1"/>
    </xf>
    <xf numFmtId="0" fontId="2" fillId="0" borderId="1" xfId="0" applyFont="1" applyBorder="1" applyAlignment="1">
      <alignment horizontal="left" indent="1"/>
    </xf>
    <xf numFmtId="0" fontId="4" fillId="3" borderId="0" xfId="0" applyFont="1" applyFill="1" applyAlignment="1">
      <alignment horizontal="left" vertical="center"/>
    </xf>
    <xf numFmtId="14" fontId="0" fillId="0" borderId="0" xfId="0" applyNumberFormat="1"/>
    <xf numFmtId="0" fontId="0" fillId="0" borderId="0" xfId="0" applyAlignment="1">
      <alignment horizontal="center"/>
    </xf>
    <xf numFmtId="0" fontId="6" fillId="4" borderId="0" xfId="0" applyFont="1" applyFill="1" applyAlignment="1">
      <alignment horizontal="center"/>
    </xf>
    <xf numFmtId="0" fontId="7" fillId="6" borderId="0" xfId="0" applyFont="1" applyFill="1" applyAlignment="1">
      <alignment horizontal="left" indent="1"/>
    </xf>
    <xf numFmtId="0" fontId="7" fillId="6" borderId="0" xfId="0" applyFont="1" applyFill="1"/>
    <xf numFmtId="0" fontId="9" fillId="9" borderId="0" xfId="0" applyFont="1" applyFill="1"/>
    <xf numFmtId="0" fontId="0" fillId="10" borderId="0" xfId="0" applyFill="1"/>
    <xf numFmtId="0" fontId="2" fillId="6" borderId="0" xfId="0" applyFont="1" applyFill="1" applyAlignment="1">
      <alignment horizontal="center"/>
    </xf>
    <xf numFmtId="0" fontId="8" fillId="7" borderId="0" xfId="0" applyFont="1" applyFill="1" applyAlignment="1">
      <alignment horizontal="center"/>
    </xf>
    <xf numFmtId="0" fontId="0" fillId="8" borderId="0" xfId="0" applyFill="1" applyAlignment="1">
      <alignment horizontal="center"/>
    </xf>
    <xf numFmtId="0" fontId="0" fillId="9" borderId="0" xfId="0" applyFill="1" applyAlignment="1">
      <alignment horizontal="center"/>
    </xf>
    <xf numFmtId="0" fontId="0" fillId="11" borderId="0" xfId="0" applyFill="1" applyAlignment="1">
      <alignment horizontal="left"/>
    </xf>
    <xf numFmtId="0" fontId="0" fillId="0" borderId="0" xfId="0" applyAlignment="1">
      <alignment horizontal="left"/>
    </xf>
    <xf numFmtId="0" fontId="0" fillId="4" borderId="0" xfId="0" applyFill="1"/>
    <xf numFmtId="0" fontId="0" fillId="13" borderId="0" xfId="0" applyFill="1"/>
    <xf numFmtId="0" fontId="0" fillId="12" borderId="0" xfId="0" applyFill="1" applyAlignment="1">
      <alignment horizontal="center"/>
    </xf>
    <xf numFmtId="0" fontId="0" fillId="14" borderId="0" xfId="0" applyFill="1"/>
    <xf numFmtId="0" fontId="0" fillId="15" borderId="0" xfId="0" applyFill="1"/>
    <xf numFmtId="0" fontId="0" fillId="16" borderId="0" xfId="0" applyFill="1"/>
    <xf numFmtId="0" fontId="2" fillId="0" borderId="0" xfId="0" applyFont="1"/>
    <xf numFmtId="0" fontId="4" fillId="4" borderId="0" xfId="0" applyFont="1" applyFill="1" applyAlignment="1">
      <alignment horizontal="center"/>
    </xf>
    <xf numFmtId="0" fontId="0" fillId="4" borderId="0" xfId="0" applyFill="1" applyAlignment="1">
      <alignment horizontal="center"/>
    </xf>
    <xf numFmtId="0" fontId="6" fillId="17" borderId="0" xfId="0" applyFont="1" applyFill="1"/>
    <xf numFmtId="0" fontId="6" fillId="18" borderId="0" xfId="0" applyFont="1" applyFill="1"/>
    <xf numFmtId="0" fontId="11" fillId="19" borderId="0" xfId="0" applyFont="1" applyFill="1"/>
    <xf numFmtId="0" fontId="12" fillId="20" borderId="0" xfId="0" applyFont="1" applyFill="1"/>
    <xf numFmtId="0" fontId="12" fillId="19" borderId="0" xfId="0" applyFont="1" applyFill="1"/>
    <xf numFmtId="0" fontId="13" fillId="21" borderId="0" xfId="0" applyFont="1" applyFill="1"/>
    <xf numFmtId="0" fontId="14" fillId="7" borderId="0" xfId="0" applyFont="1" applyFill="1"/>
    <xf numFmtId="22" fontId="0" fillId="0" borderId="0" xfId="0" applyNumberFormat="1"/>
    <xf numFmtId="0" fontId="10" fillId="14" borderId="0" xfId="0" applyFont="1" applyFill="1"/>
    <xf numFmtId="18" fontId="0" fillId="0" borderId="0" xfId="0" applyNumberFormat="1"/>
    <xf numFmtId="0" fontId="10" fillId="22" borderId="0" xfId="0" applyFont="1" applyFill="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6" fillId="5" borderId="0" xfId="0" applyFont="1" applyFill="1" applyAlignment="1">
      <alignment horizontal="center"/>
    </xf>
  </cellXfs>
  <cellStyles count="2">
    <cellStyle name="Normal" xfId="0" builtinId="0"/>
    <cellStyle name="Percent" xfId="1" builtinId="5"/>
  </cellStyles>
  <dxfs count="28">
    <dxf>
      <font>
        <color rgb="FF9C0006"/>
      </font>
    </dxf>
    <dxf>
      <font>
        <color rgb="FF9C0006"/>
      </font>
      <fill>
        <patternFill>
          <bgColor rgb="FFFFC7CE"/>
        </patternFill>
      </fill>
    </dxf>
    <dxf>
      <font>
        <color rgb="FF9C0006"/>
      </font>
    </dxf>
    <dxf>
      <font>
        <b/>
        <i val="0"/>
        <strike val="0"/>
        <condense val="0"/>
        <extend val="0"/>
        <outline val="0"/>
        <shadow val="0"/>
        <u val="none"/>
        <vertAlign val="baseline"/>
        <sz val="11"/>
        <color theme="3"/>
        <name val="Calibri"/>
        <family val="2"/>
        <scheme val="minor"/>
      </font>
      <fill>
        <patternFill patternType="solid">
          <fgColor indexed="64"/>
          <bgColor theme="4" tint="0.59999389629810485"/>
        </patternFill>
      </fill>
    </dxf>
    <dxf>
      <numFmt numFmtId="19" formatCode="dd/mm/yyyy"/>
    </dxf>
    <dxf>
      <font>
        <b/>
        <i val="0"/>
        <strike val="0"/>
        <condense val="0"/>
        <extend val="0"/>
        <outline val="0"/>
        <shadow val="0"/>
        <u val="none"/>
        <vertAlign val="baseline"/>
        <sz val="11"/>
        <color theme="3"/>
        <name val="Calibri"/>
        <family val="2"/>
        <scheme val="minor"/>
      </font>
      <fill>
        <patternFill patternType="solid">
          <fgColor indexed="64"/>
          <bgColor theme="5" tint="-0.249977111117893"/>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rgb="FFFF0000"/>
        <name val="Calibri"/>
        <family val="2"/>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5" tint="-0.249977111117893"/>
        <name val="Calibri"/>
        <family val="2"/>
        <scheme val="minor"/>
      </font>
      <fill>
        <patternFill patternType="solid">
          <fgColor indexed="64"/>
          <bgColor theme="9"/>
        </patternFill>
      </fill>
    </dxf>
    <dxf>
      <alignment horizontal="left" vertical="bottom" textRotation="0" wrapText="0" indent="1" justifyLastLine="0" shrinkToFit="0" readingOrder="0"/>
    </dxf>
    <dxf>
      <alignment horizontal="left" textRotation="0" wrapText="0" relativeIndent="1" justifyLastLine="0" shrinkToFit="0" readingOrder="0"/>
    </dxf>
    <dxf>
      <alignment horizontal="left" vertical="bottom" textRotation="0" wrapText="0" indent="1" justifyLastLine="0" shrinkToFit="0" readingOrder="0"/>
    </dxf>
    <dxf>
      <alignment horizontal="left" textRotation="0" wrapText="0" relativeIndent="1" justifyLastLine="0" shrinkToFit="0" readingOrder="0"/>
    </dxf>
    <dxf>
      <alignment horizontal="left" vertical="bottom" textRotation="0" wrapText="0" indent="1" justifyLastLine="0" shrinkToFit="0" readingOrder="0"/>
    </dxf>
    <dxf>
      <alignment horizontal="left" textRotation="0" wrapText="0" relativeIndent="1" justifyLastLine="0" shrinkToFit="0" readingOrder="0"/>
    </dxf>
    <dxf>
      <alignment horizontal="left" vertical="bottom" textRotation="0" wrapText="0" indent="1" justifyLastLine="0" shrinkToFit="0" readingOrder="0"/>
    </dxf>
    <dxf>
      <alignment horizontal="left" textRotation="0" wrapText="0" relativeIndent="1" justifyLastLine="0" shrinkToFit="0" readingOrder="0"/>
    </dxf>
    <dxf>
      <alignment horizontal="left" vertical="bottom" textRotation="0" wrapText="0" indent="1" justifyLastLine="0" shrinkToFit="0" readingOrder="0"/>
    </dxf>
    <dxf>
      <alignment horizontal="left" textRotation="0" wrapText="0" relativeIndent="1" justifyLastLine="0" shrinkToFit="0" readingOrder="0"/>
    </dxf>
    <dxf>
      <numFmt numFmtId="19" formatCode="dd/mm/yyyy"/>
      <alignment horizontal="left" vertical="bottom" textRotation="0" wrapText="0" indent="1" justifyLastLine="0" shrinkToFit="0" readingOrder="0"/>
    </dxf>
    <dxf>
      <numFmt numFmtId="19" formatCode="dd/mm/yyyy"/>
      <alignment horizontal="left" textRotation="0" wrapText="0" relativeIndent="1" justifyLastLine="0" shrinkToFit="0" readingOrder="0"/>
    </dxf>
    <dxf>
      <alignment horizontal="left" textRotation="0" wrapText="0" relativeIndent="1" justifyLastLine="0" shrinkToFit="0" readingOrder="0"/>
    </dxf>
    <dxf>
      <alignment horizontal="left" textRotation="0" wrapText="0" relativeIndent="1" justifyLastLine="0" shrinkToFit="0" readingOrder="0"/>
    </dxf>
    <dxf>
      <font>
        <b/>
        <i val="0"/>
        <strike val="0"/>
        <condense val="0"/>
        <extend val="0"/>
        <outline val="0"/>
        <shadow val="0"/>
        <u val="none"/>
        <vertAlign val="baseline"/>
        <sz val="11"/>
        <color rgb="FFFF0000"/>
        <name val="Calibri"/>
        <family val="2"/>
        <scheme val="minor"/>
      </font>
      <fill>
        <patternFill patternType="solid">
          <fgColor indexed="64"/>
          <bgColor theme="7"/>
        </patternFill>
      </fill>
      <alignment horizontal="left" vertical="center" textRotation="0" wrapText="0" relativeIndent="1" justifyLastLine="0" shrinkToFit="0" readingOrder="0"/>
    </dxf>
  </dxfs>
  <tableStyles count="1" defaultTableStyle="TableStyleMedium2" defaultPivotStyle="PivotStyleLight16">
    <tableStyle name="Invisible" pivot="0" table="0" count="0" xr9:uid="{D53A212A-C075-48C8-87E3-78C1E507DC1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microsoft.com/office/2007/relationships/slicerCache" Target="slicerCaches/slicerCache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BAR</a:t>
            </a:r>
            <a:r>
              <a:rPr lang="en-IN" baseline="0"/>
              <a:t> CHART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basic!$D$2</c:f>
              <c:strCache>
                <c:ptCount val="1"/>
                <c:pt idx="0">
                  <c:v>Column3</c:v>
                </c:pt>
              </c:strCache>
            </c:strRef>
          </c:tx>
          <c:spPr>
            <a:solidFill>
              <a:schemeClr val="accent1"/>
            </a:solidFill>
            <a:ln>
              <a:noFill/>
            </a:ln>
            <a:effectLst/>
          </c:spPr>
          <c:invertIfNegative val="0"/>
          <c:cat>
            <c:strRef>
              <c:extLst>
                <c:ext xmlns:c15="http://schemas.microsoft.com/office/drawing/2012/chart" uri="{02D57815-91ED-43cb-92C2-25804820EDAC}">
                  <c15:fullRef>
                    <c15:sqref>basic!$A$3:$C$15</c15:sqref>
                  </c15:fullRef>
                  <c15:levelRef>
                    <c15:sqref>basic!$C$3:$C$15</c15:sqref>
                  </c15:levelRef>
                </c:ext>
              </c:extLst>
              <c:f>basic!$C$3:$C$15</c:f>
              <c:strCache>
                <c:ptCount val="13"/>
                <c:pt idx="0">
                  <c:v>ITEMS</c:v>
                </c:pt>
                <c:pt idx="1">
                  <c:v>gas bills</c:v>
                </c:pt>
                <c:pt idx="2">
                  <c:v>home rent</c:v>
                </c:pt>
                <c:pt idx="3">
                  <c:v>groceries</c:v>
                </c:pt>
                <c:pt idx="4">
                  <c:v>phone bill</c:v>
                </c:pt>
                <c:pt idx="5">
                  <c:v>wifi bill</c:v>
                </c:pt>
                <c:pt idx="6">
                  <c:v>fruits</c:v>
                </c:pt>
                <c:pt idx="7">
                  <c:v>vegetable</c:v>
                </c:pt>
                <c:pt idx="8">
                  <c:v>water bill</c:v>
                </c:pt>
                <c:pt idx="9">
                  <c:v>burger</c:v>
                </c:pt>
                <c:pt idx="10">
                  <c:v>bakery</c:v>
                </c:pt>
                <c:pt idx="11">
                  <c:v>sarvana</c:v>
                </c:pt>
                <c:pt idx="12">
                  <c:v>pizza</c:v>
                </c:pt>
              </c:strCache>
            </c:strRef>
          </c:cat>
          <c:val>
            <c:numRef>
              <c:f>basic!$D$3:$D$15</c:f>
              <c:numCache>
                <c:formatCode>General</c:formatCode>
                <c:ptCount val="13"/>
                <c:pt idx="0">
                  <c:v>0</c:v>
                </c:pt>
                <c:pt idx="1">
                  <c:v>500</c:v>
                </c:pt>
                <c:pt idx="2">
                  <c:v>230</c:v>
                </c:pt>
                <c:pt idx="3">
                  <c:v>1000</c:v>
                </c:pt>
                <c:pt idx="4">
                  <c:v>436</c:v>
                </c:pt>
                <c:pt idx="5">
                  <c:v>475</c:v>
                </c:pt>
                <c:pt idx="6">
                  <c:v>689</c:v>
                </c:pt>
                <c:pt idx="7">
                  <c:v>904</c:v>
                </c:pt>
                <c:pt idx="8">
                  <c:v>65</c:v>
                </c:pt>
                <c:pt idx="9">
                  <c:v>765</c:v>
                </c:pt>
                <c:pt idx="10">
                  <c:v>444</c:v>
                </c:pt>
                <c:pt idx="11">
                  <c:v>574</c:v>
                </c:pt>
                <c:pt idx="12">
                  <c:v>446</c:v>
                </c:pt>
              </c:numCache>
            </c:numRef>
          </c:val>
          <c:extLst>
            <c:ext xmlns:c16="http://schemas.microsoft.com/office/drawing/2014/chart" uri="{C3380CC4-5D6E-409C-BE32-E72D297353CC}">
              <c16:uniqueId val="{00000000-9119-474A-940F-F0904AE24CE6}"/>
            </c:ext>
          </c:extLst>
        </c:ser>
        <c:ser>
          <c:idx val="1"/>
          <c:order val="1"/>
          <c:tx>
            <c:strRef>
              <c:f>basic!$E$2</c:f>
              <c:strCache>
                <c:ptCount val="1"/>
                <c:pt idx="0">
                  <c:v>Column4</c:v>
                </c:pt>
              </c:strCache>
            </c:strRef>
          </c:tx>
          <c:spPr>
            <a:solidFill>
              <a:schemeClr val="accent2"/>
            </a:solidFill>
            <a:ln>
              <a:noFill/>
            </a:ln>
            <a:effectLst/>
          </c:spPr>
          <c:invertIfNegative val="0"/>
          <c:cat>
            <c:strRef>
              <c:extLst>
                <c:ext xmlns:c15="http://schemas.microsoft.com/office/drawing/2012/chart" uri="{02D57815-91ED-43cb-92C2-25804820EDAC}">
                  <c15:fullRef>
                    <c15:sqref>basic!$A$3:$C$15</c15:sqref>
                  </c15:fullRef>
                  <c15:levelRef>
                    <c15:sqref>basic!$C$3:$C$15</c15:sqref>
                  </c15:levelRef>
                </c:ext>
              </c:extLst>
              <c:f>basic!$C$3:$C$15</c:f>
              <c:strCache>
                <c:ptCount val="13"/>
                <c:pt idx="0">
                  <c:v>ITEMS</c:v>
                </c:pt>
                <c:pt idx="1">
                  <c:v>gas bills</c:v>
                </c:pt>
                <c:pt idx="2">
                  <c:v>home rent</c:v>
                </c:pt>
                <c:pt idx="3">
                  <c:v>groceries</c:v>
                </c:pt>
                <c:pt idx="4">
                  <c:v>phone bill</c:v>
                </c:pt>
                <c:pt idx="5">
                  <c:v>wifi bill</c:v>
                </c:pt>
                <c:pt idx="6">
                  <c:v>fruits</c:v>
                </c:pt>
                <c:pt idx="7">
                  <c:v>vegetable</c:v>
                </c:pt>
                <c:pt idx="8">
                  <c:v>water bill</c:v>
                </c:pt>
                <c:pt idx="9">
                  <c:v>burger</c:v>
                </c:pt>
                <c:pt idx="10">
                  <c:v>bakery</c:v>
                </c:pt>
                <c:pt idx="11">
                  <c:v>sarvana</c:v>
                </c:pt>
                <c:pt idx="12">
                  <c:v>pizza</c:v>
                </c:pt>
              </c:strCache>
            </c:strRef>
          </c:cat>
          <c:val>
            <c:numRef>
              <c:f>basic!$E$3:$E$15</c:f>
              <c:numCache>
                <c:formatCode>0%</c:formatCode>
                <c:ptCount val="13"/>
                <c:pt idx="0" formatCode="General">
                  <c:v>0</c:v>
                </c:pt>
                <c:pt idx="1">
                  <c:v>0</c:v>
                </c:pt>
                <c:pt idx="2" formatCode="General">
                  <c:v>0</c:v>
                </c:pt>
                <c:pt idx="3" formatCode="General">
                  <c:v>0</c:v>
                </c:pt>
                <c:pt idx="4" formatCode="General">
                  <c:v>0</c:v>
                </c:pt>
                <c:pt idx="5" formatCode="General">
                  <c:v>0</c:v>
                </c:pt>
                <c:pt idx="6" formatCode="General">
                  <c:v>0</c:v>
                </c:pt>
                <c:pt idx="7" formatCode="General">
                  <c:v>0</c:v>
                </c:pt>
                <c:pt idx="8" formatCode="General">
                  <c:v>0</c:v>
                </c:pt>
                <c:pt idx="9" formatCode="General">
                  <c:v>0</c:v>
                </c:pt>
                <c:pt idx="10" formatCode="General">
                  <c:v>0</c:v>
                </c:pt>
                <c:pt idx="11" formatCode="General">
                  <c:v>0</c:v>
                </c:pt>
                <c:pt idx="12" formatCode="General">
                  <c:v>0</c:v>
                </c:pt>
              </c:numCache>
            </c:numRef>
          </c:val>
          <c:extLst>
            <c:ext xmlns:c16="http://schemas.microsoft.com/office/drawing/2014/chart" uri="{C3380CC4-5D6E-409C-BE32-E72D297353CC}">
              <c16:uniqueId val="{00000001-9119-474A-940F-F0904AE24CE6}"/>
            </c:ext>
          </c:extLst>
        </c:ser>
        <c:dLbls>
          <c:showLegendKey val="0"/>
          <c:showVal val="0"/>
          <c:showCatName val="0"/>
          <c:showSerName val="0"/>
          <c:showPercent val="0"/>
          <c:showBubbleSize val="0"/>
        </c:dLbls>
        <c:gapWidth val="219"/>
        <c:overlap val="-27"/>
        <c:axId val="729044576"/>
        <c:axId val="729041216"/>
        <c:extLst>
          <c:ext xmlns:c15="http://schemas.microsoft.com/office/drawing/2012/chart" uri="{02D57815-91ED-43cb-92C2-25804820EDAC}">
            <c15:filteredBarSeries>
              <c15:ser>
                <c:idx val="2"/>
                <c:order val="2"/>
                <c:tx>
                  <c:strRef>
                    <c:extLst>
                      <c:ext uri="{02D57815-91ED-43cb-92C2-25804820EDAC}">
                        <c15:formulaRef>
                          <c15:sqref>basic!$F$2</c15:sqref>
                        </c15:formulaRef>
                      </c:ext>
                    </c:extLst>
                    <c:strCache>
                      <c:ptCount val="1"/>
                      <c:pt idx="0">
                        <c:v>Column5</c:v>
                      </c:pt>
                    </c:strCache>
                  </c:strRef>
                </c:tx>
                <c:spPr>
                  <a:solidFill>
                    <a:schemeClr val="accent3"/>
                  </a:solidFill>
                  <a:ln>
                    <a:noFill/>
                  </a:ln>
                  <a:effectLst/>
                </c:spPr>
                <c:invertIfNegative val="0"/>
                <c:cat>
                  <c:strRef>
                    <c:extLst>
                      <c:ext uri="{02D57815-91ED-43cb-92C2-25804820EDAC}">
                        <c15:fullRef>
                          <c15:sqref>basic!$A$3:$C$15</c15:sqref>
                        </c15:fullRef>
                        <c15:levelRef>
                          <c15:sqref>basic!$C$3:$C$15</c15:sqref>
                        </c15:levelRef>
                        <c15:formulaRef>
                          <c15:sqref>basic!$C$3:$C$15</c15:sqref>
                        </c15:formulaRef>
                      </c:ext>
                    </c:extLst>
                    <c:strCache>
                      <c:ptCount val="13"/>
                      <c:pt idx="0">
                        <c:v>ITEMS</c:v>
                      </c:pt>
                      <c:pt idx="1">
                        <c:v>gas bills</c:v>
                      </c:pt>
                      <c:pt idx="2">
                        <c:v>home rent</c:v>
                      </c:pt>
                      <c:pt idx="3">
                        <c:v>groceries</c:v>
                      </c:pt>
                      <c:pt idx="4">
                        <c:v>phone bill</c:v>
                      </c:pt>
                      <c:pt idx="5">
                        <c:v>wifi bill</c:v>
                      </c:pt>
                      <c:pt idx="6">
                        <c:v>fruits</c:v>
                      </c:pt>
                      <c:pt idx="7">
                        <c:v>vegetable</c:v>
                      </c:pt>
                      <c:pt idx="8">
                        <c:v>water bill</c:v>
                      </c:pt>
                      <c:pt idx="9">
                        <c:v>burger</c:v>
                      </c:pt>
                      <c:pt idx="10">
                        <c:v>bakery</c:v>
                      </c:pt>
                      <c:pt idx="11">
                        <c:v>sarvana</c:v>
                      </c:pt>
                      <c:pt idx="12">
                        <c:v>pizza</c:v>
                      </c:pt>
                    </c:strCache>
                  </c:strRef>
                </c:cat>
                <c:val>
                  <c:numRef>
                    <c:extLst>
                      <c:ext uri="{02D57815-91ED-43cb-92C2-25804820EDAC}">
                        <c15:formulaRef>
                          <c15:sqref>basic!$F$3:$F$15</c15:sqref>
                        </c15:formulaRef>
                      </c:ext>
                    </c:extLst>
                    <c:numCache>
                      <c:formatCode>General</c:formatCode>
                      <c:ptCount val="13"/>
                    </c:numCache>
                  </c:numRef>
                </c:val>
                <c:extLst>
                  <c:ext xmlns:c16="http://schemas.microsoft.com/office/drawing/2014/chart" uri="{C3380CC4-5D6E-409C-BE32-E72D297353CC}">
                    <c16:uniqueId val="{00000002-9119-474A-940F-F0904AE24CE6}"/>
                  </c:ext>
                </c:extLst>
              </c15:ser>
            </c15:filteredBarSeries>
          </c:ext>
        </c:extLst>
      </c:barChart>
      <c:catAx>
        <c:axId val="72904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041216"/>
        <c:crosses val="autoZero"/>
        <c:auto val="1"/>
        <c:lblAlgn val="ctr"/>
        <c:lblOffset val="100"/>
        <c:noMultiLvlLbl val="0"/>
      </c:catAx>
      <c:valAx>
        <c:axId val="729041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044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pieChart>
        <c:varyColors val="1"/>
        <c:ser>
          <c:idx val="0"/>
          <c:order val="0"/>
          <c:tx>
            <c:strRef>
              <c:f>basic!$A$2</c:f>
              <c:strCache>
                <c:ptCount val="1"/>
                <c:pt idx="0">
                  <c:v>EXPENSES</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E8A6-4D4B-AAA2-F4D3DB9CAF29}"/>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E8A6-4D4B-AAA2-F4D3DB9CAF29}"/>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E8A6-4D4B-AAA2-F4D3DB9CAF29}"/>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E8A6-4D4B-AAA2-F4D3DB9CAF29}"/>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E8A6-4D4B-AAA2-F4D3DB9CAF29}"/>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E8A6-4D4B-AAA2-F4D3DB9CAF29}"/>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D-E8A6-4D4B-AAA2-F4D3DB9CAF29}"/>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F-E8A6-4D4B-AAA2-F4D3DB9CAF29}"/>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11-E8A6-4D4B-AAA2-F4D3DB9CAF29}"/>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13-E8A6-4D4B-AAA2-F4D3DB9CAF29}"/>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15-E8A6-4D4B-AAA2-F4D3DB9CAF29}"/>
              </c:ext>
            </c:extLst>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17-E8A6-4D4B-AAA2-F4D3DB9CAF29}"/>
              </c:ext>
            </c:extLst>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019-E8A6-4D4B-AAA2-F4D3DB9CAF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val>
            <c:numRef>
              <c:f>basic!$A$3:$A$15</c:f>
              <c:numCache>
                <c:formatCode>m/d/yyyy</c:formatCode>
                <c:ptCount val="13"/>
                <c:pt idx="0">
                  <c:v>0</c:v>
                </c:pt>
                <c:pt idx="1">
                  <c:v>45292</c:v>
                </c:pt>
                <c:pt idx="2">
                  <c:v>45293</c:v>
                </c:pt>
                <c:pt idx="3">
                  <c:v>45294</c:v>
                </c:pt>
                <c:pt idx="4">
                  <c:v>45295</c:v>
                </c:pt>
                <c:pt idx="5">
                  <c:v>45296</c:v>
                </c:pt>
                <c:pt idx="6">
                  <c:v>45297</c:v>
                </c:pt>
                <c:pt idx="7">
                  <c:v>45298</c:v>
                </c:pt>
                <c:pt idx="8">
                  <c:v>45299</c:v>
                </c:pt>
                <c:pt idx="9">
                  <c:v>45300</c:v>
                </c:pt>
                <c:pt idx="10">
                  <c:v>45301</c:v>
                </c:pt>
                <c:pt idx="11">
                  <c:v>45302</c:v>
                </c:pt>
                <c:pt idx="12">
                  <c:v>45303</c:v>
                </c:pt>
              </c:numCache>
            </c:numRef>
          </c:val>
          <c:extLst>
            <c:ext xmlns:c16="http://schemas.microsoft.com/office/drawing/2014/chart" uri="{C3380CC4-5D6E-409C-BE32-E72D297353CC}">
              <c16:uniqueId val="{00000000-9E5F-4301-8F72-B466BE26DFBC}"/>
            </c:ext>
          </c:extLst>
        </c:ser>
        <c:ser>
          <c:idx val="1"/>
          <c:order val="1"/>
          <c:tx>
            <c:strRef>
              <c:f>basic!$B$2</c:f>
              <c:strCache>
                <c:ptCount val="1"/>
                <c:pt idx="0">
                  <c:v>Column1</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1B-E8A6-4D4B-AAA2-F4D3DB9CAF29}"/>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1D-E8A6-4D4B-AAA2-F4D3DB9CAF29}"/>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1F-E8A6-4D4B-AAA2-F4D3DB9CAF29}"/>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21-E8A6-4D4B-AAA2-F4D3DB9CAF29}"/>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23-E8A6-4D4B-AAA2-F4D3DB9CAF29}"/>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25-E8A6-4D4B-AAA2-F4D3DB9CAF29}"/>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27-E8A6-4D4B-AAA2-F4D3DB9CAF29}"/>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29-E8A6-4D4B-AAA2-F4D3DB9CAF29}"/>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2B-E8A6-4D4B-AAA2-F4D3DB9CAF29}"/>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2D-E8A6-4D4B-AAA2-F4D3DB9CAF29}"/>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2F-E8A6-4D4B-AAA2-F4D3DB9CAF29}"/>
              </c:ext>
            </c:extLst>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31-E8A6-4D4B-AAA2-F4D3DB9CAF29}"/>
              </c:ext>
            </c:extLst>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033-E8A6-4D4B-AAA2-F4D3DB9CAF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val>
            <c:numRef>
              <c:f>basic!$B$3:$B$15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9E5F-4301-8F72-B466BE26DFBC}"/>
            </c:ext>
          </c:extLst>
        </c:ser>
        <c:ser>
          <c:idx val="2"/>
          <c:order val="2"/>
          <c:tx>
            <c:strRef>
              <c:f>basic!$C$2</c:f>
              <c:strCache>
                <c:ptCount val="1"/>
                <c:pt idx="0">
                  <c:v>Column2</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35-E8A6-4D4B-AAA2-F4D3DB9CAF29}"/>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37-E8A6-4D4B-AAA2-F4D3DB9CAF29}"/>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39-E8A6-4D4B-AAA2-F4D3DB9CAF29}"/>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3B-E8A6-4D4B-AAA2-F4D3DB9CAF29}"/>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3D-E8A6-4D4B-AAA2-F4D3DB9CAF29}"/>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3F-E8A6-4D4B-AAA2-F4D3DB9CAF29}"/>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41-E8A6-4D4B-AAA2-F4D3DB9CAF29}"/>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43-E8A6-4D4B-AAA2-F4D3DB9CAF29}"/>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45-E8A6-4D4B-AAA2-F4D3DB9CAF29}"/>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47-E8A6-4D4B-AAA2-F4D3DB9CAF29}"/>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49-E8A6-4D4B-AAA2-F4D3DB9CAF29}"/>
              </c:ext>
            </c:extLst>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4B-E8A6-4D4B-AAA2-F4D3DB9CAF29}"/>
              </c:ext>
            </c:extLst>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04D-E8A6-4D4B-AAA2-F4D3DB9CAF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val>
            <c:numRef>
              <c:f>basic!$C$3:$C$15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9E5F-4301-8F72-B466BE26DFBC}"/>
            </c:ext>
          </c:extLst>
        </c:ser>
        <c:ser>
          <c:idx val="3"/>
          <c:order val="3"/>
          <c:tx>
            <c:strRef>
              <c:f>basic!$D$2</c:f>
              <c:strCache>
                <c:ptCount val="1"/>
                <c:pt idx="0">
                  <c:v>Column3</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4F-E8A6-4D4B-AAA2-F4D3DB9CAF29}"/>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51-E8A6-4D4B-AAA2-F4D3DB9CAF29}"/>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53-E8A6-4D4B-AAA2-F4D3DB9CAF29}"/>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55-E8A6-4D4B-AAA2-F4D3DB9CAF29}"/>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57-E8A6-4D4B-AAA2-F4D3DB9CAF29}"/>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59-E8A6-4D4B-AAA2-F4D3DB9CAF29}"/>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5B-E8A6-4D4B-AAA2-F4D3DB9CAF29}"/>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5D-E8A6-4D4B-AAA2-F4D3DB9CAF29}"/>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5F-E8A6-4D4B-AAA2-F4D3DB9CAF29}"/>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61-E8A6-4D4B-AAA2-F4D3DB9CAF29}"/>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63-E8A6-4D4B-AAA2-F4D3DB9CAF29}"/>
              </c:ext>
            </c:extLst>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65-E8A6-4D4B-AAA2-F4D3DB9CAF29}"/>
              </c:ext>
            </c:extLst>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067-E8A6-4D4B-AAA2-F4D3DB9CAF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val>
            <c:numRef>
              <c:f>basic!$D$3:$D$15</c:f>
              <c:numCache>
                <c:formatCode>General</c:formatCode>
                <c:ptCount val="13"/>
                <c:pt idx="0">
                  <c:v>0</c:v>
                </c:pt>
                <c:pt idx="1">
                  <c:v>500</c:v>
                </c:pt>
                <c:pt idx="2">
                  <c:v>230</c:v>
                </c:pt>
                <c:pt idx="3">
                  <c:v>1000</c:v>
                </c:pt>
                <c:pt idx="4">
                  <c:v>436</c:v>
                </c:pt>
                <c:pt idx="5">
                  <c:v>475</c:v>
                </c:pt>
                <c:pt idx="6">
                  <c:v>689</c:v>
                </c:pt>
                <c:pt idx="7">
                  <c:v>904</c:v>
                </c:pt>
                <c:pt idx="8">
                  <c:v>65</c:v>
                </c:pt>
                <c:pt idx="9">
                  <c:v>765</c:v>
                </c:pt>
                <c:pt idx="10">
                  <c:v>444</c:v>
                </c:pt>
                <c:pt idx="11">
                  <c:v>574</c:v>
                </c:pt>
                <c:pt idx="12">
                  <c:v>446</c:v>
                </c:pt>
              </c:numCache>
            </c:numRef>
          </c:val>
          <c:extLst>
            <c:ext xmlns:c16="http://schemas.microsoft.com/office/drawing/2014/chart" uri="{C3380CC4-5D6E-409C-BE32-E72D297353CC}">
              <c16:uniqueId val="{00000003-9E5F-4301-8F72-B466BE26DFBC}"/>
            </c:ext>
          </c:extLst>
        </c:ser>
        <c:ser>
          <c:idx val="4"/>
          <c:order val="4"/>
          <c:tx>
            <c:strRef>
              <c:f>basic!$E$2</c:f>
              <c:strCache>
                <c:ptCount val="1"/>
                <c:pt idx="0">
                  <c:v>Column4</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69-E8A6-4D4B-AAA2-F4D3DB9CAF29}"/>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6B-E8A6-4D4B-AAA2-F4D3DB9CAF29}"/>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6D-E8A6-4D4B-AAA2-F4D3DB9CAF29}"/>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6F-E8A6-4D4B-AAA2-F4D3DB9CAF29}"/>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71-E8A6-4D4B-AAA2-F4D3DB9CAF29}"/>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73-E8A6-4D4B-AAA2-F4D3DB9CAF29}"/>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75-E8A6-4D4B-AAA2-F4D3DB9CAF29}"/>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77-E8A6-4D4B-AAA2-F4D3DB9CAF29}"/>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79-E8A6-4D4B-AAA2-F4D3DB9CAF29}"/>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7B-E8A6-4D4B-AAA2-F4D3DB9CAF29}"/>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7D-E8A6-4D4B-AAA2-F4D3DB9CAF29}"/>
              </c:ext>
            </c:extLst>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7F-E8A6-4D4B-AAA2-F4D3DB9CAF29}"/>
              </c:ext>
            </c:extLst>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081-E8A6-4D4B-AAA2-F4D3DB9CAF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val>
            <c:numRef>
              <c:f>basic!$E$3:$E$15</c:f>
              <c:numCache>
                <c:formatCode>0%</c:formatCode>
                <c:ptCount val="13"/>
                <c:pt idx="0" formatCode="General">
                  <c:v>0</c:v>
                </c:pt>
                <c:pt idx="1">
                  <c:v>0</c:v>
                </c:pt>
                <c:pt idx="2" formatCode="General">
                  <c:v>0</c:v>
                </c:pt>
                <c:pt idx="3" formatCode="General">
                  <c:v>0</c:v>
                </c:pt>
                <c:pt idx="4" formatCode="General">
                  <c:v>0</c:v>
                </c:pt>
                <c:pt idx="5" formatCode="General">
                  <c:v>0</c:v>
                </c:pt>
                <c:pt idx="6" formatCode="General">
                  <c:v>0</c:v>
                </c:pt>
                <c:pt idx="7" formatCode="General">
                  <c:v>0</c:v>
                </c:pt>
                <c:pt idx="8" formatCode="General">
                  <c:v>0</c:v>
                </c:pt>
                <c:pt idx="9" formatCode="General">
                  <c:v>0</c:v>
                </c:pt>
                <c:pt idx="10" formatCode="General">
                  <c:v>0</c:v>
                </c:pt>
                <c:pt idx="11" formatCode="General">
                  <c:v>0</c:v>
                </c:pt>
                <c:pt idx="12" formatCode="General">
                  <c:v>0</c:v>
                </c:pt>
              </c:numCache>
            </c:numRef>
          </c:val>
          <c:extLst>
            <c:ext xmlns:c16="http://schemas.microsoft.com/office/drawing/2014/chart" uri="{C3380CC4-5D6E-409C-BE32-E72D297353CC}">
              <c16:uniqueId val="{00000004-9E5F-4301-8F72-B466BE26DFBC}"/>
            </c:ext>
          </c:extLst>
        </c:ser>
        <c:ser>
          <c:idx val="5"/>
          <c:order val="5"/>
          <c:tx>
            <c:strRef>
              <c:f>basic!$F$2</c:f>
              <c:strCache>
                <c:ptCount val="1"/>
                <c:pt idx="0">
                  <c:v>Column5</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83-E8A6-4D4B-AAA2-F4D3DB9CAF29}"/>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85-E8A6-4D4B-AAA2-F4D3DB9CAF29}"/>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87-E8A6-4D4B-AAA2-F4D3DB9CAF29}"/>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89-E8A6-4D4B-AAA2-F4D3DB9CAF29}"/>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8B-E8A6-4D4B-AAA2-F4D3DB9CAF29}"/>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8D-E8A6-4D4B-AAA2-F4D3DB9CAF29}"/>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8F-E8A6-4D4B-AAA2-F4D3DB9CAF29}"/>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91-E8A6-4D4B-AAA2-F4D3DB9CAF29}"/>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93-E8A6-4D4B-AAA2-F4D3DB9CAF29}"/>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95-E8A6-4D4B-AAA2-F4D3DB9CAF29}"/>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97-E8A6-4D4B-AAA2-F4D3DB9CAF29}"/>
              </c:ext>
            </c:extLst>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99-E8A6-4D4B-AAA2-F4D3DB9CAF29}"/>
              </c:ext>
            </c:extLst>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09B-E8A6-4D4B-AAA2-F4D3DB9CAF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val>
            <c:numRef>
              <c:f>basic!$F$3:$F$15</c:f>
              <c:numCache>
                <c:formatCode>General</c:formatCode>
                <c:ptCount val="13"/>
              </c:numCache>
            </c:numRef>
          </c:val>
          <c:extLst>
            <c:ext xmlns:c16="http://schemas.microsoft.com/office/drawing/2014/chart" uri="{C3380CC4-5D6E-409C-BE32-E72D297353CC}">
              <c16:uniqueId val="{00000005-9E5F-4301-8F72-B466BE26DFB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LINE</a:t>
            </a:r>
            <a:r>
              <a:rPr lang="en-IN" baseline="0"/>
              <a:t> CHART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049974488740572"/>
          <c:y val="0.2170673076923077"/>
          <c:w val="0.78867713777459081"/>
          <c:h val="0.53674477589339797"/>
        </c:manualLayout>
      </c:layout>
      <c:scatterChart>
        <c:scatterStyle val="smoothMarker"/>
        <c:varyColors val="0"/>
        <c:ser>
          <c:idx val="0"/>
          <c:order val="0"/>
          <c:tx>
            <c:strRef>
              <c:f>basic!$A$2</c:f>
              <c:strCache>
                <c:ptCount val="1"/>
                <c:pt idx="0">
                  <c:v>EXPENSES</c:v>
                </c:pt>
              </c:strCache>
            </c:strRef>
          </c:tx>
          <c:spPr>
            <a:ln w="19050" cap="rnd">
              <a:solidFill>
                <a:schemeClr val="accent1"/>
              </a:solidFill>
              <a:round/>
            </a:ln>
            <a:effectLst/>
          </c:spPr>
          <c:marker>
            <c:symbol val="none"/>
          </c:marker>
          <c:yVal>
            <c:numRef>
              <c:f>basic!$A$3:$A$15</c:f>
              <c:numCache>
                <c:formatCode>m/d/yyyy</c:formatCode>
                <c:ptCount val="13"/>
                <c:pt idx="0">
                  <c:v>0</c:v>
                </c:pt>
                <c:pt idx="1">
                  <c:v>45292</c:v>
                </c:pt>
                <c:pt idx="2">
                  <c:v>45293</c:v>
                </c:pt>
                <c:pt idx="3">
                  <c:v>45294</c:v>
                </c:pt>
                <c:pt idx="4">
                  <c:v>45295</c:v>
                </c:pt>
                <c:pt idx="5">
                  <c:v>45296</c:v>
                </c:pt>
                <c:pt idx="6">
                  <c:v>45297</c:v>
                </c:pt>
                <c:pt idx="7">
                  <c:v>45298</c:v>
                </c:pt>
                <c:pt idx="8">
                  <c:v>45299</c:v>
                </c:pt>
                <c:pt idx="9">
                  <c:v>45300</c:v>
                </c:pt>
                <c:pt idx="10">
                  <c:v>45301</c:v>
                </c:pt>
                <c:pt idx="11">
                  <c:v>45302</c:v>
                </c:pt>
                <c:pt idx="12">
                  <c:v>45303</c:v>
                </c:pt>
              </c:numCache>
            </c:numRef>
          </c:yVal>
          <c:smooth val="1"/>
          <c:extLst>
            <c:ext xmlns:c16="http://schemas.microsoft.com/office/drawing/2014/chart" uri="{C3380CC4-5D6E-409C-BE32-E72D297353CC}">
              <c16:uniqueId val="{00000000-4F14-4D3F-8183-63B40A8868ED}"/>
            </c:ext>
          </c:extLst>
        </c:ser>
        <c:ser>
          <c:idx val="1"/>
          <c:order val="1"/>
          <c:tx>
            <c:strRef>
              <c:f>basic!$B$2</c:f>
              <c:strCache>
                <c:ptCount val="1"/>
                <c:pt idx="0">
                  <c:v>Column1</c:v>
                </c:pt>
              </c:strCache>
            </c:strRef>
          </c:tx>
          <c:spPr>
            <a:ln w="19050" cap="rnd">
              <a:solidFill>
                <a:schemeClr val="accent2"/>
              </a:solidFill>
              <a:round/>
            </a:ln>
            <a:effectLst/>
          </c:spPr>
          <c:marker>
            <c:symbol val="none"/>
          </c:marker>
          <c:yVal>
            <c:numRef>
              <c:f>basic!$B$3:$B$15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yVal>
          <c:smooth val="1"/>
          <c:extLst>
            <c:ext xmlns:c16="http://schemas.microsoft.com/office/drawing/2014/chart" uri="{C3380CC4-5D6E-409C-BE32-E72D297353CC}">
              <c16:uniqueId val="{00000001-4F14-4D3F-8183-63B40A8868ED}"/>
            </c:ext>
          </c:extLst>
        </c:ser>
        <c:ser>
          <c:idx val="2"/>
          <c:order val="2"/>
          <c:tx>
            <c:strRef>
              <c:f>basic!$C$2</c:f>
              <c:strCache>
                <c:ptCount val="1"/>
                <c:pt idx="0">
                  <c:v>Column2</c:v>
                </c:pt>
              </c:strCache>
            </c:strRef>
          </c:tx>
          <c:spPr>
            <a:ln w="19050" cap="rnd">
              <a:solidFill>
                <a:schemeClr val="accent3"/>
              </a:solidFill>
              <a:round/>
            </a:ln>
            <a:effectLst/>
          </c:spPr>
          <c:marker>
            <c:symbol val="none"/>
          </c:marker>
          <c:yVal>
            <c:numRef>
              <c:f>basic!$C$3:$C$15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yVal>
          <c:smooth val="1"/>
          <c:extLst>
            <c:ext xmlns:c16="http://schemas.microsoft.com/office/drawing/2014/chart" uri="{C3380CC4-5D6E-409C-BE32-E72D297353CC}">
              <c16:uniqueId val="{00000002-4F14-4D3F-8183-63B40A8868ED}"/>
            </c:ext>
          </c:extLst>
        </c:ser>
        <c:ser>
          <c:idx val="3"/>
          <c:order val="3"/>
          <c:tx>
            <c:strRef>
              <c:f>basic!$D$2</c:f>
              <c:strCache>
                <c:ptCount val="1"/>
                <c:pt idx="0">
                  <c:v>Column3</c:v>
                </c:pt>
              </c:strCache>
            </c:strRef>
          </c:tx>
          <c:spPr>
            <a:ln w="19050" cap="rnd">
              <a:solidFill>
                <a:schemeClr val="accent4"/>
              </a:solidFill>
              <a:round/>
            </a:ln>
            <a:effectLst/>
          </c:spPr>
          <c:marker>
            <c:symbol val="none"/>
          </c:marker>
          <c:yVal>
            <c:numRef>
              <c:f>basic!$D$3:$D$15</c:f>
              <c:numCache>
                <c:formatCode>General</c:formatCode>
                <c:ptCount val="13"/>
                <c:pt idx="0">
                  <c:v>0</c:v>
                </c:pt>
                <c:pt idx="1">
                  <c:v>500</c:v>
                </c:pt>
                <c:pt idx="2">
                  <c:v>230</c:v>
                </c:pt>
                <c:pt idx="3">
                  <c:v>1000</c:v>
                </c:pt>
                <c:pt idx="4">
                  <c:v>436</c:v>
                </c:pt>
                <c:pt idx="5">
                  <c:v>475</c:v>
                </c:pt>
                <c:pt idx="6">
                  <c:v>689</c:v>
                </c:pt>
                <c:pt idx="7">
                  <c:v>904</c:v>
                </c:pt>
                <c:pt idx="8">
                  <c:v>65</c:v>
                </c:pt>
                <c:pt idx="9">
                  <c:v>765</c:v>
                </c:pt>
                <c:pt idx="10">
                  <c:v>444</c:v>
                </c:pt>
                <c:pt idx="11">
                  <c:v>574</c:v>
                </c:pt>
                <c:pt idx="12">
                  <c:v>446</c:v>
                </c:pt>
              </c:numCache>
            </c:numRef>
          </c:yVal>
          <c:smooth val="1"/>
          <c:extLst>
            <c:ext xmlns:c16="http://schemas.microsoft.com/office/drawing/2014/chart" uri="{C3380CC4-5D6E-409C-BE32-E72D297353CC}">
              <c16:uniqueId val="{00000003-4F14-4D3F-8183-63B40A8868ED}"/>
            </c:ext>
          </c:extLst>
        </c:ser>
        <c:ser>
          <c:idx val="4"/>
          <c:order val="4"/>
          <c:tx>
            <c:strRef>
              <c:f>basic!$E$2</c:f>
              <c:strCache>
                <c:ptCount val="1"/>
                <c:pt idx="0">
                  <c:v>Column4</c:v>
                </c:pt>
              </c:strCache>
            </c:strRef>
          </c:tx>
          <c:spPr>
            <a:ln w="19050" cap="rnd">
              <a:solidFill>
                <a:schemeClr val="accent5"/>
              </a:solidFill>
              <a:round/>
            </a:ln>
            <a:effectLst/>
          </c:spPr>
          <c:marker>
            <c:symbol val="none"/>
          </c:marker>
          <c:yVal>
            <c:numRef>
              <c:f>basic!$E$3:$E$15</c:f>
              <c:numCache>
                <c:formatCode>0%</c:formatCode>
                <c:ptCount val="13"/>
                <c:pt idx="0" formatCode="General">
                  <c:v>0</c:v>
                </c:pt>
                <c:pt idx="1">
                  <c:v>0</c:v>
                </c:pt>
                <c:pt idx="2" formatCode="General">
                  <c:v>0</c:v>
                </c:pt>
                <c:pt idx="3" formatCode="General">
                  <c:v>0</c:v>
                </c:pt>
                <c:pt idx="4" formatCode="General">
                  <c:v>0</c:v>
                </c:pt>
                <c:pt idx="5" formatCode="General">
                  <c:v>0</c:v>
                </c:pt>
                <c:pt idx="6" formatCode="General">
                  <c:v>0</c:v>
                </c:pt>
                <c:pt idx="7" formatCode="General">
                  <c:v>0</c:v>
                </c:pt>
                <c:pt idx="8" formatCode="General">
                  <c:v>0</c:v>
                </c:pt>
                <c:pt idx="9" formatCode="General">
                  <c:v>0</c:v>
                </c:pt>
                <c:pt idx="10" formatCode="General">
                  <c:v>0</c:v>
                </c:pt>
                <c:pt idx="11" formatCode="General">
                  <c:v>0</c:v>
                </c:pt>
                <c:pt idx="12" formatCode="General">
                  <c:v>0</c:v>
                </c:pt>
              </c:numCache>
            </c:numRef>
          </c:yVal>
          <c:smooth val="1"/>
          <c:extLst>
            <c:ext xmlns:c16="http://schemas.microsoft.com/office/drawing/2014/chart" uri="{C3380CC4-5D6E-409C-BE32-E72D297353CC}">
              <c16:uniqueId val="{00000004-4F14-4D3F-8183-63B40A8868ED}"/>
            </c:ext>
          </c:extLst>
        </c:ser>
        <c:ser>
          <c:idx val="5"/>
          <c:order val="5"/>
          <c:tx>
            <c:strRef>
              <c:f>basic!$F$2</c:f>
              <c:strCache>
                <c:ptCount val="1"/>
                <c:pt idx="0">
                  <c:v>Column5</c:v>
                </c:pt>
              </c:strCache>
            </c:strRef>
          </c:tx>
          <c:spPr>
            <a:ln w="19050" cap="rnd">
              <a:solidFill>
                <a:schemeClr val="accent6"/>
              </a:solidFill>
              <a:round/>
            </a:ln>
            <a:effectLst/>
          </c:spPr>
          <c:marker>
            <c:symbol val="none"/>
          </c:marker>
          <c:yVal>
            <c:numRef>
              <c:f>basic!$F$3:$F$15</c:f>
              <c:numCache>
                <c:formatCode>General</c:formatCode>
                <c:ptCount val="13"/>
              </c:numCache>
            </c:numRef>
          </c:yVal>
          <c:smooth val="1"/>
          <c:extLst>
            <c:ext xmlns:c16="http://schemas.microsoft.com/office/drawing/2014/chart" uri="{C3380CC4-5D6E-409C-BE32-E72D297353CC}">
              <c16:uniqueId val="{00000005-4F14-4D3F-8183-63B40A8868ED}"/>
            </c:ext>
          </c:extLst>
        </c:ser>
        <c:dLbls>
          <c:showLegendKey val="0"/>
          <c:showVal val="0"/>
          <c:showCatName val="0"/>
          <c:showSerName val="0"/>
          <c:showPercent val="0"/>
          <c:showBubbleSize val="0"/>
        </c:dLbls>
        <c:axId val="729076736"/>
        <c:axId val="729077216"/>
      </c:scatterChart>
      <c:valAx>
        <c:axId val="72907673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077216"/>
        <c:crosses val="autoZero"/>
        <c:crossBetween val="midCat"/>
      </c:valAx>
      <c:valAx>
        <c:axId val="729077216"/>
        <c:scaling>
          <c:orientation val="minMax"/>
        </c:scaling>
        <c:delete val="0"/>
        <c:axPos val="l"/>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07673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AMOUNT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basic!$A$2</c:f>
              <c:strCache>
                <c:ptCount val="1"/>
                <c:pt idx="0">
                  <c:v>EXPENSES</c:v>
                </c:pt>
              </c:strCache>
            </c:strRef>
          </c:tx>
          <c:spPr>
            <a:ln w="28575" cap="rnd">
              <a:solidFill>
                <a:schemeClr val="accent1"/>
              </a:solidFill>
              <a:round/>
            </a:ln>
            <a:effectLst/>
          </c:spPr>
          <c:marker>
            <c:symbol val="none"/>
          </c:marker>
          <c:val>
            <c:numRef>
              <c:f>basic!$A$3:$A$15</c:f>
              <c:numCache>
                <c:formatCode>m/d/yyyy</c:formatCode>
                <c:ptCount val="13"/>
                <c:pt idx="0">
                  <c:v>0</c:v>
                </c:pt>
                <c:pt idx="1">
                  <c:v>45292</c:v>
                </c:pt>
                <c:pt idx="2">
                  <c:v>45293</c:v>
                </c:pt>
                <c:pt idx="3">
                  <c:v>45294</c:v>
                </c:pt>
                <c:pt idx="4">
                  <c:v>45295</c:v>
                </c:pt>
                <c:pt idx="5">
                  <c:v>45296</c:v>
                </c:pt>
                <c:pt idx="6">
                  <c:v>45297</c:v>
                </c:pt>
                <c:pt idx="7">
                  <c:v>45298</c:v>
                </c:pt>
                <c:pt idx="8">
                  <c:v>45299</c:v>
                </c:pt>
                <c:pt idx="9">
                  <c:v>45300</c:v>
                </c:pt>
                <c:pt idx="10">
                  <c:v>45301</c:v>
                </c:pt>
                <c:pt idx="11">
                  <c:v>45302</c:v>
                </c:pt>
                <c:pt idx="12">
                  <c:v>45303</c:v>
                </c:pt>
              </c:numCache>
            </c:numRef>
          </c:val>
          <c:smooth val="0"/>
          <c:extLst>
            <c:ext xmlns:c16="http://schemas.microsoft.com/office/drawing/2014/chart" uri="{C3380CC4-5D6E-409C-BE32-E72D297353CC}">
              <c16:uniqueId val="{00000000-D462-47D2-9929-2F63D9DEB20F}"/>
            </c:ext>
          </c:extLst>
        </c:ser>
        <c:ser>
          <c:idx val="1"/>
          <c:order val="1"/>
          <c:tx>
            <c:strRef>
              <c:f>basic!$B$2</c:f>
              <c:strCache>
                <c:ptCount val="1"/>
                <c:pt idx="0">
                  <c:v>Column1</c:v>
                </c:pt>
              </c:strCache>
            </c:strRef>
          </c:tx>
          <c:spPr>
            <a:ln w="28575" cap="rnd">
              <a:solidFill>
                <a:schemeClr val="accent2"/>
              </a:solidFill>
              <a:round/>
            </a:ln>
            <a:effectLst/>
          </c:spPr>
          <c:marker>
            <c:symbol val="none"/>
          </c:marker>
          <c:val>
            <c:numRef>
              <c:f>basic!$B$3:$B$15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1-D462-47D2-9929-2F63D9DEB20F}"/>
            </c:ext>
          </c:extLst>
        </c:ser>
        <c:ser>
          <c:idx val="2"/>
          <c:order val="2"/>
          <c:tx>
            <c:strRef>
              <c:f>basic!$C$2</c:f>
              <c:strCache>
                <c:ptCount val="1"/>
                <c:pt idx="0">
                  <c:v>Column2</c:v>
                </c:pt>
              </c:strCache>
            </c:strRef>
          </c:tx>
          <c:spPr>
            <a:ln w="28575" cap="rnd">
              <a:solidFill>
                <a:schemeClr val="accent3"/>
              </a:solidFill>
              <a:round/>
            </a:ln>
            <a:effectLst/>
          </c:spPr>
          <c:marker>
            <c:symbol val="none"/>
          </c:marker>
          <c:val>
            <c:numRef>
              <c:f>basic!$C$3:$C$15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2-D462-47D2-9929-2F63D9DEB20F}"/>
            </c:ext>
          </c:extLst>
        </c:ser>
        <c:ser>
          <c:idx val="3"/>
          <c:order val="3"/>
          <c:tx>
            <c:strRef>
              <c:f>basic!$D$2</c:f>
              <c:strCache>
                <c:ptCount val="1"/>
                <c:pt idx="0">
                  <c:v>Column3</c:v>
                </c:pt>
              </c:strCache>
            </c:strRef>
          </c:tx>
          <c:spPr>
            <a:ln w="28575" cap="rnd">
              <a:solidFill>
                <a:schemeClr val="accent4"/>
              </a:solidFill>
              <a:round/>
            </a:ln>
            <a:effectLst/>
          </c:spPr>
          <c:marker>
            <c:symbol val="none"/>
          </c:marker>
          <c:val>
            <c:numRef>
              <c:f>basic!$D$3:$D$15</c:f>
              <c:numCache>
                <c:formatCode>General</c:formatCode>
                <c:ptCount val="13"/>
                <c:pt idx="0">
                  <c:v>0</c:v>
                </c:pt>
                <c:pt idx="1">
                  <c:v>500</c:v>
                </c:pt>
                <c:pt idx="2">
                  <c:v>230</c:v>
                </c:pt>
                <c:pt idx="3">
                  <c:v>1000</c:v>
                </c:pt>
                <c:pt idx="4">
                  <c:v>436</c:v>
                </c:pt>
                <c:pt idx="5">
                  <c:v>475</c:v>
                </c:pt>
                <c:pt idx="6">
                  <c:v>689</c:v>
                </c:pt>
                <c:pt idx="7">
                  <c:v>904</c:v>
                </c:pt>
                <c:pt idx="8">
                  <c:v>65</c:v>
                </c:pt>
                <c:pt idx="9">
                  <c:v>765</c:v>
                </c:pt>
                <c:pt idx="10">
                  <c:v>444</c:v>
                </c:pt>
                <c:pt idx="11">
                  <c:v>574</c:v>
                </c:pt>
                <c:pt idx="12">
                  <c:v>446</c:v>
                </c:pt>
              </c:numCache>
            </c:numRef>
          </c:val>
          <c:smooth val="0"/>
          <c:extLst>
            <c:ext xmlns:c16="http://schemas.microsoft.com/office/drawing/2014/chart" uri="{C3380CC4-5D6E-409C-BE32-E72D297353CC}">
              <c16:uniqueId val="{00000003-D462-47D2-9929-2F63D9DEB20F}"/>
            </c:ext>
          </c:extLst>
        </c:ser>
        <c:ser>
          <c:idx val="4"/>
          <c:order val="4"/>
          <c:tx>
            <c:strRef>
              <c:f>basic!$E$2</c:f>
              <c:strCache>
                <c:ptCount val="1"/>
                <c:pt idx="0">
                  <c:v>Column4</c:v>
                </c:pt>
              </c:strCache>
            </c:strRef>
          </c:tx>
          <c:spPr>
            <a:ln w="28575" cap="rnd">
              <a:solidFill>
                <a:schemeClr val="accent5"/>
              </a:solidFill>
              <a:round/>
            </a:ln>
            <a:effectLst/>
          </c:spPr>
          <c:marker>
            <c:symbol val="none"/>
          </c:marker>
          <c:val>
            <c:numRef>
              <c:f>basic!$E$3:$E$15</c:f>
              <c:numCache>
                <c:formatCode>0%</c:formatCode>
                <c:ptCount val="13"/>
                <c:pt idx="0" formatCode="General">
                  <c:v>0</c:v>
                </c:pt>
                <c:pt idx="1">
                  <c:v>0</c:v>
                </c:pt>
                <c:pt idx="2" formatCode="General">
                  <c:v>0</c:v>
                </c:pt>
                <c:pt idx="3" formatCode="General">
                  <c:v>0</c:v>
                </c:pt>
                <c:pt idx="4" formatCode="General">
                  <c:v>0</c:v>
                </c:pt>
                <c:pt idx="5" formatCode="General">
                  <c:v>0</c:v>
                </c:pt>
                <c:pt idx="6" formatCode="General">
                  <c:v>0</c:v>
                </c:pt>
                <c:pt idx="7" formatCode="General">
                  <c:v>0</c:v>
                </c:pt>
                <c:pt idx="8" formatCode="General">
                  <c:v>0</c:v>
                </c:pt>
                <c:pt idx="9" formatCode="General">
                  <c:v>0</c:v>
                </c:pt>
                <c:pt idx="10" formatCode="General">
                  <c:v>0</c:v>
                </c:pt>
                <c:pt idx="11" formatCode="General">
                  <c:v>0</c:v>
                </c:pt>
                <c:pt idx="12" formatCode="General">
                  <c:v>0</c:v>
                </c:pt>
              </c:numCache>
            </c:numRef>
          </c:val>
          <c:smooth val="0"/>
          <c:extLst>
            <c:ext xmlns:c16="http://schemas.microsoft.com/office/drawing/2014/chart" uri="{C3380CC4-5D6E-409C-BE32-E72D297353CC}">
              <c16:uniqueId val="{00000004-D462-47D2-9929-2F63D9DEB20F}"/>
            </c:ext>
          </c:extLst>
        </c:ser>
        <c:ser>
          <c:idx val="5"/>
          <c:order val="5"/>
          <c:tx>
            <c:strRef>
              <c:f>basic!$F$2</c:f>
              <c:strCache>
                <c:ptCount val="1"/>
                <c:pt idx="0">
                  <c:v>Column5</c:v>
                </c:pt>
              </c:strCache>
            </c:strRef>
          </c:tx>
          <c:spPr>
            <a:ln w="28575" cap="rnd">
              <a:solidFill>
                <a:schemeClr val="accent6"/>
              </a:solidFill>
              <a:round/>
            </a:ln>
            <a:effectLst/>
          </c:spPr>
          <c:marker>
            <c:symbol val="none"/>
          </c:marker>
          <c:val>
            <c:numRef>
              <c:f>basic!$F$3:$F$15</c:f>
              <c:numCache>
                <c:formatCode>General</c:formatCode>
                <c:ptCount val="13"/>
              </c:numCache>
            </c:numRef>
          </c:val>
          <c:smooth val="0"/>
          <c:extLst>
            <c:ext xmlns:c16="http://schemas.microsoft.com/office/drawing/2014/chart" uri="{C3380CC4-5D6E-409C-BE32-E72D297353CC}">
              <c16:uniqueId val="{00000005-D462-47D2-9929-2F63D9DEB20F}"/>
            </c:ext>
          </c:extLst>
        </c:ser>
        <c:dLbls>
          <c:showLegendKey val="0"/>
          <c:showVal val="0"/>
          <c:showCatName val="0"/>
          <c:showSerName val="0"/>
          <c:showPercent val="0"/>
          <c:showBubbleSize val="0"/>
        </c:dLbls>
        <c:smooth val="0"/>
        <c:axId val="824911184"/>
        <c:axId val="824907344"/>
      </c:lineChart>
      <c:catAx>
        <c:axId val="82491118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907344"/>
        <c:crosses val="autoZero"/>
        <c:auto val="1"/>
        <c:lblAlgn val="ctr"/>
        <c:lblOffset val="100"/>
        <c:noMultiLvlLbl val="0"/>
      </c:catAx>
      <c:valAx>
        <c:axId val="824907344"/>
        <c:scaling>
          <c:orientation val="minMax"/>
        </c:scaling>
        <c:delete val="0"/>
        <c:axPos val="l"/>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911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BAR</a:t>
            </a:r>
            <a:r>
              <a:rPr lang="en-IN" baseline="0"/>
              <a:t> CHART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'live modify chart'!$B$1</c:f>
              <c:strCache>
                <c:ptCount val="1"/>
                <c:pt idx="0">
                  <c:v>REVENUE</c:v>
                </c:pt>
              </c:strCache>
            </c:strRef>
          </c:tx>
          <c:spPr>
            <a:solidFill>
              <a:schemeClr val="accent1"/>
            </a:solidFill>
            <a:ln>
              <a:noFill/>
            </a:ln>
            <a:effectLst/>
          </c:spPr>
          <c:invertIfNegative val="0"/>
          <c:cat>
            <c:strRef>
              <c:f>'live modify chart'!$A$2:$A$8</c:f>
              <c:strCache>
                <c:ptCount val="7"/>
                <c:pt idx="0">
                  <c:v>TATA MOTORS</c:v>
                </c:pt>
                <c:pt idx="1">
                  <c:v>RELIANCE</c:v>
                </c:pt>
                <c:pt idx="2">
                  <c:v>TESLA</c:v>
                </c:pt>
                <c:pt idx="3">
                  <c:v>GOOGLE</c:v>
                </c:pt>
                <c:pt idx="4">
                  <c:v>ADAANI</c:v>
                </c:pt>
                <c:pt idx="5">
                  <c:v>JIO</c:v>
                </c:pt>
                <c:pt idx="6">
                  <c:v>AIRTEL</c:v>
                </c:pt>
              </c:strCache>
            </c:strRef>
          </c:cat>
          <c:val>
            <c:numRef>
              <c:f>'live modify chart'!$B$2:$B$8</c:f>
              <c:numCache>
                <c:formatCode>General</c:formatCode>
                <c:ptCount val="7"/>
                <c:pt idx="0">
                  <c:v>100</c:v>
                </c:pt>
                <c:pt idx="1">
                  <c:v>80</c:v>
                </c:pt>
                <c:pt idx="2">
                  <c:v>70</c:v>
                </c:pt>
                <c:pt idx="3">
                  <c:v>200</c:v>
                </c:pt>
                <c:pt idx="4">
                  <c:v>150</c:v>
                </c:pt>
                <c:pt idx="5">
                  <c:v>500</c:v>
                </c:pt>
                <c:pt idx="6">
                  <c:v>600</c:v>
                </c:pt>
              </c:numCache>
            </c:numRef>
          </c:val>
          <c:extLst>
            <c:ext xmlns:c16="http://schemas.microsoft.com/office/drawing/2014/chart" uri="{C3380CC4-5D6E-409C-BE32-E72D297353CC}">
              <c16:uniqueId val="{00000000-07BA-458F-A0B2-A9877C675257}"/>
            </c:ext>
          </c:extLst>
        </c:ser>
        <c:ser>
          <c:idx val="1"/>
          <c:order val="1"/>
          <c:tx>
            <c:strRef>
              <c:f>'live modify chart'!$C$1</c:f>
              <c:strCache>
                <c:ptCount val="1"/>
                <c:pt idx="0">
                  <c:v>PROFIT</c:v>
                </c:pt>
              </c:strCache>
            </c:strRef>
          </c:tx>
          <c:spPr>
            <a:solidFill>
              <a:schemeClr val="accent2"/>
            </a:solidFill>
            <a:ln>
              <a:noFill/>
            </a:ln>
            <a:effectLst/>
          </c:spPr>
          <c:invertIfNegative val="0"/>
          <c:cat>
            <c:strRef>
              <c:f>'live modify chart'!$A$2:$A$8</c:f>
              <c:strCache>
                <c:ptCount val="7"/>
                <c:pt idx="0">
                  <c:v>TATA MOTORS</c:v>
                </c:pt>
                <c:pt idx="1">
                  <c:v>RELIANCE</c:v>
                </c:pt>
                <c:pt idx="2">
                  <c:v>TESLA</c:v>
                </c:pt>
                <c:pt idx="3">
                  <c:v>GOOGLE</c:v>
                </c:pt>
                <c:pt idx="4">
                  <c:v>ADAANI</c:v>
                </c:pt>
                <c:pt idx="5">
                  <c:v>JIO</c:v>
                </c:pt>
                <c:pt idx="6">
                  <c:v>AIRTEL</c:v>
                </c:pt>
              </c:strCache>
            </c:strRef>
          </c:cat>
          <c:val>
            <c:numRef>
              <c:f>'live modify chart'!$C$2:$C$8</c:f>
              <c:numCache>
                <c:formatCode>General</c:formatCode>
                <c:ptCount val="7"/>
                <c:pt idx="0">
                  <c:v>24</c:v>
                </c:pt>
                <c:pt idx="1">
                  <c:v>20</c:v>
                </c:pt>
                <c:pt idx="2">
                  <c:v>10</c:v>
                </c:pt>
                <c:pt idx="3">
                  <c:v>40</c:v>
                </c:pt>
                <c:pt idx="4">
                  <c:v>25</c:v>
                </c:pt>
                <c:pt idx="5">
                  <c:v>49</c:v>
                </c:pt>
                <c:pt idx="6">
                  <c:v>34</c:v>
                </c:pt>
              </c:numCache>
            </c:numRef>
          </c:val>
          <c:extLst>
            <c:ext xmlns:c16="http://schemas.microsoft.com/office/drawing/2014/chart" uri="{C3380CC4-5D6E-409C-BE32-E72D297353CC}">
              <c16:uniqueId val="{00000001-07BA-458F-A0B2-A9877C675257}"/>
            </c:ext>
          </c:extLst>
        </c:ser>
        <c:dLbls>
          <c:showLegendKey val="0"/>
          <c:showVal val="0"/>
          <c:showCatName val="0"/>
          <c:showSerName val="0"/>
          <c:showPercent val="0"/>
          <c:showBubbleSize val="0"/>
        </c:dLbls>
        <c:gapWidth val="219"/>
        <c:overlap val="-27"/>
        <c:axId val="779675152"/>
        <c:axId val="779675632"/>
      </c:barChart>
      <c:catAx>
        <c:axId val="77967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75632"/>
        <c:crosses val="autoZero"/>
        <c:auto val="1"/>
        <c:lblAlgn val="ctr"/>
        <c:lblOffset val="100"/>
        <c:noMultiLvlLbl val="0"/>
      </c:catAx>
      <c:valAx>
        <c:axId val="779675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75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Chart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7391032370953631"/>
          <c:y val="0.17171296296296298"/>
          <c:w val="0.31329068241469815"/>
          <c:h val="0.52215113735783025"/>
        </c:manualLayout>
      </c:layout>
      <c:doughnutChart>
        <c:varyColors val="1"/>
        <c:ser>
          <c:idx val="0"/>
          <c:order val="0"/>
          <c:tx>
            <c:strRef>
              <c:f>'CALENDER IN EXCEL'!$D$6</c:f>
              <c:strCache>
                <c:ptCount val="1"/>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A0-42B4-9034-C3044C9A78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A0-42B4-9034-C3044C9A78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A0-42B4-9034-C3044C9A786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A0-42B4-9034-C3044C9A786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AA0-42B4-9034-C3044C9A786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AA0-42B4-9034-C3044C9A786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AA0-42B4-9034-C3044C9A786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AA0-42B4-9034-C3044C9A786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AA0-42B4-9034-C3044C9A786E}"/>
              </c:ext>
            </c:extLst>
          </c:dPt>
          <c:cat>
            <c:strRef>
              <c:f>'CALENDER IN EXCEL'!$C$10:$C$18</c:f>
              <c:strCache>
                <c:ptCount val="6"/>
                <c:pt idx="0">
                  <c:v>gold</c:v>
                </c:pt>
                <c:pt idx="1">
                  <c:v>sugar</c:v>
                </c:pt>
                <c:pt idx="2">
                  <c:v>curd</c:v>
                </c:pt>
                <c:pt idx="3">
                  <c:v>bags</c:v>
                </c:pt>
                <c:pt idx="4">
                  <c:v>jaggery</c:v>
                </c:pt>
                <c:pt idx="5">
                  <c:v>turmeric</c:v>
                </c:pt>
              </c:strCache>
            </c:strRef>
          </c:cat>
          <c:val>
            <c:numRef>
              <c:f>'CALENDER IN EXCEL'!$D$10:$D$18</c:f>
              <c:numCache>
                <c:formatCode>General</c:formatCode>
                <c:ptCount val="9"/>
              </c:numCache>
            </c:numRef>
          </c:val>
          <c:extLst>
            <c:ext xmlns:c16="http://schemas.microsoft.com/office/drawing/2014/chart" uri="{C3380CC4-5D6E-409C-BE32-E72D297353CC}">
              <c16:uniqueId val="{00000000-292C-4100-92EB-A1DEBFE5190B}"/>
            </c:ext>
          </c:extLst>
        </c:ser>
        <c:ser>
          <c:idx val="1"/>
          <c:order val="1"/>
          <c:tx>
            <c:strRef>
              <c:f>'CALENDER IN EXCEL'!$E$6</c:f>
              <c:strCache>
                <c:ptCount val="1"/>
                <c:pt idx="0">
                  <c:v>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2AA0-42B4-9034-C3044C9A78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2AA0-42B4-9034-C3044C9A78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2AA0-42B4-9034-C3044C9A786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9-2AA0-42B4-9034-C3044C9A786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B-2AA0-42B4-9034-C3044C9A786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D-2AA0-42B4-9034-C3044C9A786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F-2AA0-42B4-9034-C3044C9A786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1-2AA0-42B4-9034-C3044C9A786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3-2AA0-42B4-9034-C3044C9A786E}"/>
              </c:ext>
            </c:extLst>
          </c:dPt>
          <c:cat>
            <c:strRef>
              <c:f>'CALENDER IN EXCEL'!$C$10:$C$18</c:f>
              <c:strCache>
                <c:ptCount val="6"/>
                <c:pt idx="0">
                  <c:v>gold</c:v>
                </c:pt>
                <c:pt idx="1">
                  <c:v>sugar</c:v>
                </c:pt>
                <c:pt idx="2">
                  <c:v>curd</c:v>
                </c:pt>
                <c:pt idx="3">
                  <c:v>bags</c:v>
                </c:pt>
                <c:pt idx="4">
                  <c:v>jaggery</c:v>
                </c:pt>
                <c:pt idx="5">
                  <c:v>turmeric</c:v>
                </c:pt>
              </c:strCache>
            </c:strRef>
          </c:cat>
          <c:val>
            <c:numRef>
              <c:f>'CALENDER IN EXCEL'!$E$10:$E$18</c:f>
              <c:numCache>
                <c:formatCode>General</c:formatCode>
                <c:ptCount val="9"/>
                <c:pt idx="0">
                  <c:v>100000</c:v>
                </c:pt>
                <c:pt idx="1">
                  <c:v>150</c:v>
                </c:pt>
                <c:pt idx="2">
                  <c:v>500</c:v>
                </c:pt>
                <c:pt idx="3">
                  <c:v>1400</c:v>
                </c:pt>
                <c:pt idx="4">
                  <c:v>400</c:v>
                </c:pt>
                <c:pt idx="5">
                  <c:v>1500</c:v>
                </c:pt>
              </c:numCache>
            </c:numRef>
          </c:val>
          <c:extLst>
            <c:ext xmlns:c16="http://schemas.microsoft.com/office/drawing/2014/chart" uri="{C3380CC4-5D6E-409C-BE32-E72D297353CC}">
              <c16:uniqueId val="{00000001-292C-4100-92EB-A1DEBFE5190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absolute">
    <xdr:from>
      <xdr:col>6</xdr:col>
      <xdr:colOff>259080</xdr:colOff>
      <xdr:row>0</xdr:row>
      <xdr:rowOff>205740</xdr:rowOff>
    </xdr:from>
    <xdr:to>
      <xdr:col>10</xdr:col>
      <xdr:colOff>510540</xdr:colOff>
      <xdr:row>19</xdr:row>
      <xdr:rowOff>120015</xdr:rowOff>
    </xdr:to>
    <mc:AlternateContent xmlns:mc="http://schemas.openxmlformats.org/markup-compatibility/2006" xmlns:sle15="http://schemas.microsoft.com/office/drawing/2012/slicer">
      <mc:Choice Requires="sle15">
        <xdr:graphicFrame macro="">
          <xdr:nvGraphicFramePr>
            <xdr:cNvPr id="11" name="EXPENSES">
              <a:extLst>
                <a:ext uri="{FF2B5EF4-FFF2-40B4-BE49-F238E27FC236}">
                  <a16:creationId xmlns:a16="http://schemas.microsoft.com/office/drawing/2014/main" id="{C169F068-88FF-2D64-81B0-545501E76C88}"/>
                </a:ext>
              </a:extLst>
            </xdr:cNvPr>
            <xdr:cNvGraphicFramePr/>
          </xdr:nvGraphicFramePr>
          <xdr:xfrm>
            <a:off x="0" y="0"/>
            <a:ext cx="0" cy="0"/>
          </xdr:xfrm>
          <a:graphic>
            <a:graphicData uri="http://schemas.microsoft.com/office/drawing/2010/slicer">
              <sle:slicer xmlns:sle="http://schemas.microsoft.com/office/drawing/2010/slicer" name="EXPENSES"/>
            </a:graphicData>
          </a:graphic>
        </xdr:graphicFrame>
      </mc:Choice>
      <mc:Fallback xmlns="">
        <xdr:sp macro="" textlink="">
          <xdr:nvSpPr>
            <xdr:cNvPr id="0" name=""/>
            <xdr:cNvSpPr>
              <a:spLocks noTextEdit="1"/>
            </xdr:cNvSpPr>
          </xdr:nvSpPr>
          <xdr:spPr>
            <a:xfrm>
              <a:off x="4625340" y="205740"/>
              <a:ext cx="2689860" cy="354901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12</xdr:col>
      <xdr:colOff>403860</xdr:colOff>
      <xdr:row>1</xdr:row>
      <xdr:rowOff>83820</xdr:rowOff>
    </xdr:from>
    <xdr:to>
      <xdr:col>18</xdr:col>
      <xdr:colOff>342900</xdr:colOff>
      <xdr:row>18</xdr:row>
      <xdr:rowOff>175260</xdr:rowOff>
    </xdr:to>
    <xdr:graphicFrame macro="">
      <xdr:nvGraphicFramePr>
        <xdr:cNvPr id="12" name="Chart 11">
          <a:extLst>
            <a:ext uri="{FF2B5EF4-FFF2-40B4-BE49-F238E27FC236}">
              <a16:creationId xmlns:a16="http://schemas.microsoft.com/office/drawing/2014/main" id="{3C1D9F47-4A2A-7946-BAED-C666916E27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358140</xdr:colOff>
      <xdr:row>20</xdr:row>
      <xdr:rowOff>60960</xdr:rowOff>
    </xdr:from>
    <xdr:to>
      <xdr:col>18</xdr:col>
      <xdr:colOff>411480</xdr:colOff>
      <xdr:row>33</xdr:row>
      <xdr:rowOff>144780</xdr:rowOff>
    </xdr:to>
    <xdr:graphicFrame macro="">
      <xdr:nvGraphicFramePr>
        <xdr:cNvPr id="13" name="Chart 12">
          <a:extLst>
            <a:ext uri="{FF2B5EF4-FFF2-40B4-BE49-F238E27FC236}">
              <a16:creationId xmlns:a16="http://schemas.microsoft.com/office/drawing/2014/main" id="{C38CB96F-F356-56B0-4464-40574F9643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518160</xdr:colOff>
      <xdr:row>1</xdr:row>
      <xdr:rowOff>99060</xdr:rowOff>
    </xdr:from>
    <xdr:to>
      <xdr:col>25</xdr:col>
      <xdr:colOff>601980</xdr:colOff>
      <xdr:row>18</xdr:row>
      <xdr:rowOff>144780</xdr:rowOff>
    </xdr:to>
    <xdr:graphicFrame macro="">
      <xdr:nvGraphicFramePr>
        <xdr:cNvPr id="14" name="Chart 13">
          <a:extLst>
            <a:ext uri="{FF2B5EF4-FFF2-40B4-BE49-F238E27FC236}">
              <a16:creationId xmlns:a16="http://schemas.microsoft.com/office/drawing/2014/main" id="{7931D2D9-3BDC-8479-D1BD-6A43A9462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601980</xdr:colOff>
      <xdr:row>20</xdr:row>
      <xdr:rowOff>15240</xdr:rowOff>
    </xdr:from>
    <xdr:to>
      <xdr:col>26</xdr:col>
      <xdr:colOff>22860</xdr:colOff>
      <xdr:row>34</xdr:row>
      <xdr:rowOff>121920</xdr:rowOff>
    </xdr:to>
    <xdr:graphicFrame macro="">
      <xdr:nvGraphicFramePr>
        <xdr:cNvPr id="15" name="Chart 14">
          <a:extLst>
            <a:ext uri="{FF2B5EF4-FFF2-40B4-BE49-F238E27FC236}">
              <a16:creationId xmlns:a16="http://schemas.microsoft.com/office/drawing/2014/main" id="{F420C99B-D2FB-681B-416F-0CC7D36744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1</xdr:row>
      <xdr:rowOff>38100</xdr:rowOff>
    </xdr:from>
    <xdr:to>
      <xdr:col>10</xdr:col>
      <xdr:colOff>419100</xdr:colOff>
      <xdr:row>15</xdr:row>
      <xdr:rowOff>152400</xdr:rowOff>
    </xdr:to>
    <xdr:graphicFrame macro="">
      <xdr:nvGraphicFramePr>
        <xdr:cNvPr id="3" name="Chart 2">
          <a:extLst>
            <a:ext uri="{FF2B5EF4-FFF2-40B4-BE49-F238E27FC236}">
              <a16:creationId xmlns:a16="http://schemas.microsoft.com/office/drawing/2014/main" id="{7E454FE1-46B1-98EF-55A7-38FE8AA385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350520</xdr:colOff>
      <xdr:row>16</xdr:row>
      <xdr:rowOff>167640</xdr:rowOff>
    </xdr:from>
    <xdr:to>
      <xdr:col>6</xdr:col>
      <xdr:colOff>152400</xdr:colOff>
      <xdr:row>28</xdr:row>
      <xdr:rowOff>137160</xdr:rowOff>
    </xdr:to>
    <xdr:graphicFrame macro="">
      <xdr:nvGraphicFramePr>
        <xdr:cNvPr id="3" name="Chart 2">
          <a:extLst>
            <a:ext uri="{FF2B5EF4-FFF2-40B4-BE49-F238E27FC236}">
              <a16:creationId xmlns:a16="http://schemas.microsoft.com/office/drawing/2014/main" id="{BBD8B676-5D40-4D4C-9B81-2EEAC57152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NSES" xr10:uid="{A7E78295-609F-4CC3-AA31-FB75F4EC8889}" sourceName="EXPENSES">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PENSES" xr10:uid="{48ECB180-852D-4370-9933-43D155A287BB}" cache="Slicer_EXPENSES" caption="EXPENSE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94558A-785A-4FB4-80DC-68CA68985022}" name="EXPENSE" displayName="EXPENSE" ref="A2:F16" totalsRowCount="1" headerRowDxfId="27" dataDxfId="26" totalsRowDxfId="25">
  <autoFilter ref="A2:F15" xr:uid="{5994558A-785A-4FB4-80DC-68CA68985022}"/>
  <tableColumns count="6">
    <tableColumn id="1" xr3:uid="{355FAD81-C041-4D51-95F2-49D5BD688F3B}" name="EXPENSES" dataDxfId="24" totalsRowDxfId="23"/>
    <tableColumn id="2" xr3:uid="{AE9E8E16-D916-4D34-9D5B-11145A1174C2}" name="Column1" dataDxfId="22" totalsRowDxfId="21"/>
    <tableColumn id="3" xr3:uid="{2518F1E8-AB8B-4869-9359-05A548C05694}" name="Column2" dataDxfId="20" totalsRowDxfId="19"/>
    <tableColumn id="4" xr3:uid="{E29A8B06-5620-4BBB-A792-98F9DC185245}" name="Column3" totalsRowFunction="custom" dataDxfId="18" totalsRowDxfId="17">
      <totalsRowFormula>AVERAGE(D4:D15)</totalsRowFormula>
    </tableColumn>
    <tableColumn id="5" xr3:uid="{8B767F92-9B59-4CAB-B6AA-CBA8805B3B1B}" name="Column4" dataDxfId="16" totalsRowDxfId="15"/>
    <tableColumn id="6" xr3:uid="{8BF6CB52-1351-45E4-8751-5EC4C193BF5E}" name="Column5" dataDxfId="14" totalsRowDxfId="13"/>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8EA86A-55EB-40F4-8E10-567D48BC1F8B}" name="Table2" displayName="Table2" ref="A1:C8" totalsRowShown="0" headerRowDxfId="12">
  <autoFilter ref="A1:C8" xr:uid="{998EA86A-55EB-40F4-8E10-567D48BC1F8B}"/>
  <tableColumns count="3">
    <tableColumn id="1" xr3:uid="{14EEFA12-4DB3-4ECE-8ECD-0D2717CD2D5E}" name="COMPANY"/>
    <tableColumn id="2" xr3:uid="{9450AECA-504E-4282-9EBB-2CEC45AED1EF}" name="REVENUE"/>
    <tableColumn id="3" xr3:uid="{D5F4C3E1-841D-431D-8301-030A0345459F}" name="PROFI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44F8B0-C5C0-44C1-8448-DAEE50D46476}" name="Table3" displayName="Table3" ref="C5:F15" totalsRowShown="0" headerRowDxfId="11" dataDxfId="10">
  <autoFilter ref="C5:F15" xr:uid="{4F44F8B0-C5C0-44C1-8448-DAEE50D46476}"/>
  <tableColumns count="4">
    <tableColumn id="1" xr3:uid="{B95D77D7-F0E4-4F04-B30E-C1A2BC9CB43D}" name="Column1" dataDxfId="9"/>
    <tableColumn id="2" xr3:uid="{16A6489A-E7DB-4526-BCEB-72BFCBBDF13F}" name="Column2" dataDxfId="8"/>
    <tableColumn id="3" xr3:uid="{EE2A71E2-38CC-403B-B9AB-1EF6C1536C46}" name="Column3" dataDxfId="7"/>
    <tableColumn id="4" xr3:uid="{B67D2731-8077-428C-BA7D-3504F179353C}" name="Column4" dataDxfId="6"/>
  </tableColumns>
  <tableStyleInfo name="TableStyleLight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9CEAEA-8732-4EAD-BA6F-CE8950029235}" name="Table4" displayName="Table4" ref="L19:M22" totalsRowShown="0" headerRowDxfId="5">
  <autoFilter ref="L19:M22" xr:uid="{7F9CEAEA-8732-4EAD-BA6F-CE8950029235}"/>
  <tableColumns count="2">
    <tableColumn id="1" xr3:uid="{E2A40743-505E-46F1-A75E-B7F228E62E57}" name="DAY"/>
    <tableColumn id="2" xr3:uid="{9BD29323-8DD7-469F-8C23-5DFEB1BE9D06}" name="DATE" dataDxfId="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540D1EB-9FD4-4C76-9B5A-0603F669EA0A}" name="Table5" displayName="Table5" ref="J27:L34" totalsRowShown="0" headerRowDxfId="3">
  <autoFilter ref="J27:L34" xr:uid="{A540D1EB-9FD4-4C76-9B5A-0603F669EA0A}"/>
  <tableColumns count="3">
    <tableColumn id="1" xr3:uid="{94954AA0-32E9-488D-A347-96F8A6BBA74F}" name="Column1"/>
    <tableColumn id="2" xr3:uid="{741A4611-1FDC-4A92-98CF-A30D196A548B}" name="Column2"/>
    <tableColumn id="3" xr3:uid="{94C26093-D070-43C3-84C2-69C1FEA0E755}" name="Column3">
      <calculatedColumnFormula>MONTH(J28)</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3.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EA774-29B2-475F-AF28-54F62E7F0904}">
  <dimension ref="A1:R32"/>
  <sheetViews>
    <sheetView tabSelected="1" topLeftCell="E1" zoomScaleNormal="100" workbookViewId="0">
      <selection activeCell="L37" sqref="L37"/>
    </sheetView>
  </sheetViews>
  <sheetFormatPr defaultRowHeight="14.4" x14ac:dyDescent="0.3"/>
  <cols>
    <col min="1" max="1" width="11.44140625" customWidth="1"/>
    <col min="2" max="6" width="10.44140625" customWidth="1"/>
  </cols>
  <sheetData>
    <row r="1" spans="1:18" ht="25.8" x14ac:dyDescent="0.5">
      <c r="O1" s="46" t="s">
        <v>115</v>
      </c>
      <c r="P1" s="46"/>
      <c r="Q1" s="45"/>
      <c r="R1" s="42"/>
    </row>
    <row r="2" spans="1:18" x14ac:dyDescent="0.3">
      <c r="A2" s="8" t="s">
        <v>0</v>
      </c>
      <c r="B2" s="1" t="s">
        <v>21</v>
      </c>
      <c r="C2" s="1" t="s">
        <v>22</v>
      </c>
      <c r="D2" s="1" t="s">
        <v>23</v>
      </c>
      <c r="E2" s="1" t="s">
        <v>24</v>
      </c>
      <c r="F2" s="1" t="s">
        <v>25</v>
      </c>
    </row>
    <row r="3" spans="1:18" x14ac:dyDescent="0.3">
      <c r="A3" s="2" t="s">
        <v>1</v>
      </c>
      <c r="B3" s="3" t="s">
        <v>2</v>
      </c>
      <c r="C3" s="3" t="s">
        <v>3</v>
      </c>
      <c r="D3" s="3" t="s">
        <v>4</v>
      </c>
      <c r="E3" s="3" t="s">
        <v>5</v>
      </c>
      <c r="F3" s="3"/>
    </row>
    <row r="4" spans="1:18" x14ac:dyDescent="0.3">
      <c r="A4" s="4">
        <v>45292</v>
      </c>
      <c r="B4" s="5" t="s">
        <v>6</v>
      </c>
      <c r="C4" s="5" t="s">
        <v>9</v>
      </c>
      <c r="D4" s="5">
        <v>500</v>
      </c>
      <c r="E4" s="6" t="s">
        <v>28</v>
      </c>
      <c r="F4" s="5"/>
    </row>
    <row r="5" spans="1:18" x14ac:dyDescent="0.3">
      <c r="A5" s="4">
        <v>45293</v>
      </c>
      <c r="B5" s="5" t="s">
        <v>7</v>
      </c>
      <c r="C5" s="5" t="s">
        <v>10</v>
      </c>
      <c r="D5" s="5">
        <v>230</v>
      </c>
      <c r="E5" s="5" t="s">
        <v>28</v>
      </c>
      <c r="F5" s="5"/>
    </row>
    <row r="6" spans="1:18" x14ac:dyDescent="0.3">
      <c r="A6" s="4">
        <v>45294</v>
      </c>
      <c r="B6" s="5" t="s">
        <v>8</v>
      </c>
      <c r="C6" s="5" t="s">
        <v>11</v>
      </c>
      <c r="D6" s="5">
        <v>1000</v>
      </c>
      <c r="E6" s="5" t="s">
        <v>29</v>
      </c>
      <c r="F6" s="5"/>
    </row>
    <row r="7" spans="1:18" x14ac:dyDescent="0.3">
      <c r="A7" s="4">
        <v>45295</v>
      </c>
      <c r="B7" s="5" t="s">
        <v>6</v>
      </c>
      <c r="C7" s="5" t="s">
        <v>12</v>
      </c>
      <c r="D7" s="5">
        <v>436</v>
      </c>
      <c r="E7" s="5" t="s">
        <v>29</v>
      </c>
      <c r="F7" s="5"/>
    </row>
    <row r="8" spans="1:18" x14ac:dyDescent="0.3">
      <c r="A8" s="4">
        <v>45296</v>
      </c>
      <c r="B8" s="5" t="s">
        <v>8</v>
      </c>
      <c r="C8" s="5" t="s">
        <v>13</v>
      </c>
      <c r="D8" s="5">
        <v>475</v>
      </c>
      <c r="E8" s="5" t="s">
        <v>29</v>
      </c>
      <c r="F8" s="5"/>
    </row>
    <row r="9" spans="1:18" x14ac:dyDescent="0.3">
      <c r="A9" s="4">
        <v>45297</v>
      </c>
      <c r="B9" s="5" t="s">
        <v>8</v>
      </c>
      <c r="C9" s="5" t="s">
        <v>14</v>
      </c>
      <c r="D9" s="5">
        <v>689</v>
      </c>
      <c r="E9" s="5" t="s">
        <v>29</v>
      </c>
      <c r="F9" s="5"/>
    </row>
    <row r="10" spans="1:18" x14ac:dyDescent="0.3">
      <c r="A10" s="4">
        <v>45298</v>
      </c>
      <c r="B10" s="5" t="s">
        <v>6</v>
      </c>
      <c r="C10" s="5" t="s">
        <v>15</v>
      </c>
      <c r="D10" s="5">
        <v>904</v>
      </c>
      <c r="E10" s="5" t="s">
        <v>28</v>
      </c>
      <c r="F10" s="5"/>
    </row>
    <row r="11" spans="1:18" x14ac:dyDescent="0.3">
      <c r="A11" s="4">
        <v>45299</v>
      </c>
      <c r="B11" s="5" t="s">
        <v>8</v>
      </c>
      <c r="C11" s="5" t="s">
        <v>16</v>
      </c>
      <c r="D11" s="5">
        <v>65</v>
      </c>
      <c r="E11" s="5" t="s">
        <v>28</v>
      </c>
      <c r="F11" s="5"/>
    </row>
    <row r="12" spans="1:18" x14ac:dyDescent="0.3">
      <c r="A12" s="4">
        <v>45300</v>
      </c>
      <c r="B12" s="5" t="s">
        <v>8</v>
      </c>
      <c r="C12" s="5" t="s">
        <v>17</v>
      </c>
      <c r="D12" s="5">
        <v>765</v>
      </c>
      <c r="E12" s="5" t="s">
        <v>29</v>
      </c>
      <c r="F12" s="5"/>
    </row>
    <row r="13" spans="1:18" x14ac:dyDescent="0.3">
      <c r="A13" s="4">
        <v>45301</v>
      </c>
      <c r="B13" s="5" t="s">
        <v>8</v>
      </c>
      <c r="C13" s="5" t="s">
        <v>18</v>
      </c>
      <c r="D13" s="5">
        <v>444</v>
      </c>
      <c r="E13" s="5" t="s">
        <v>29</v>
      </c>
      <c r="F13" s="5"/>
    </row>
    <row r="14" spans="1:18" x14ac:dyDescent="0.3">
      <c r="A14" s="4">
        <v>45302</v>
      </c>
      <c r="B14" s="5" t="s">
        <v>8</v>
      </c>
      <c r="C14" s="5" t="s">
        <v>19</v>
      </c>
      <c r="D14" s="5">
        <v>574</v>
      </c>
      <c r="E14" s="5" t="s">
        <v>28</v>
      </c>
      <c r="F14" s="5"/>
    </row>
    <row r="15" spans="1:18" x14ac:dyDescent="0.3">
      <c r="A15" s="4">
        <v>45303</v>
      </c>
      <c r="B15" s="5" t="s">
        <v>8</v>
      </c>
      <c r="C15" s="5" t="s">
        <v>20</v>
      </c>
      <c r="D15" s="5">
        <v>446</v>
      </c>
      <c r="E15" s="5" t="s">
        <v>28</v>
      </c>
      <c r="F15" s="5"/>
    </row>
    <row r="16" spans="1:18" x14ac:dyDescent="0.3">
      <c r="A16" s="4"/>
      <c r="B16" s="5"/>
      <c r="C16" s="5"/>
      <c r="D16" s="5">
        <f>AVERAGE(D4:D15)</f>
        <v>544</v>
      </c>
      <c r="E16" s="5"/>
      <c r="F16" s="5"/>
    </row>
    <row r="17" spans="1:6" ht="15" thickBot="1" x14ac:dyDescent="0.35">
      <c r="A17" s="5"/>
      <c r="B17" s="5"/>
      <c r="C17" s="5"/>
      <c r="D17" s="5">
        <f>SUM(D4:D15)</f>
        <v>6528</v>
      </c>
      <c r="E17" s="5"/>
      <c r="F17" s="5"/>
    </row>
    <row r="18" spans="1:6" ht="15" thickTop="1" x14ac:dyDescent="0.3">
      <c r="A18" s="12" t="s">
        <v>26</v>
      </c>
      <c r="B18" s="5"/>
      <c r="C18" s="5"/>
      <c r="D18" s="7">
        <f>AVERAGE(D6:D17)</f>
        <v>1072.5</v>
      </c>
      <c r="E18" s="5"/>
      <c r="F18" s="5"/>
    </row>
    <row r="19" spans="1:6" x14ac:dyDescent="0.3">
      <c r="A19" s="12"/>
      <c r="B19" s="5"/>
      <c r="C19" s="5"/>
      <c r="D19" s="5"/>
      <c r="E19" s="5"/>
      <c r="F19" s="5"/>
    </row>
    <row r="20" spans="1:6" x14ac:dyDescent="0.3">
      <c r="A20" s="12" t="s">
        <v>27</v>
      </c>
      <c r="B20" s="5"/>
      <c r="C20" s="5"/>
      <c r="D20" s="5">
        <v>6528</v>
      </c>
      <c r="E20" s="5"/>
      <c r="F20" s="5"/>
    </row>
    <row r="22" spans="1:6" ht="21" x14ac:dyDescent="0.4">
      <c r="B22" s="42" t="s">
        <v>114</v>
      </c>
      <c r="C22" s="42"/>
    </row>
    <row r="24" spans="1:6" x14ac:dyDescent="0.3">
      <c r="B24" s="47" t="s">
        <v>30</v>
      </c>
      <c r="C24" s="47"/>
    </row>
    <row r="25" spans="1:6" x14ac:dyDescent="0.3">
      <c r="B25" s="11" t="s">
        <v>1</v>
      </c>
      <c r="C25" t="s">
        <v>4</v>
      </c>
    </row>
    <row r="26" spans="1:6" x14ac:dyDescent="0.3">
      <c r="B26" s="9">
        <v>45292</v>
      </c>
      <c r="C26" cm="1">
        <f t="array" aca="1" ref="C26:C32" ca="1">SUMIF(EXPENSE[#All],A4:A10,EXPENSE[Column3])</f>
        <v>230</v>
      </c>
    </row>
    <row r="27" spans="1:6" x14ac:dyDescent="0.3">
      <c r="B27" s="9">
        <v>45293</v>
      </c>
      <c r="C27">
        <f ca="1"/>
        <v>1000</v>
      </c>
    </row>
    <row r="28" spans="1:6" x14ac:dyDescent="0.3">
      <c r="B28" s="9">
        <v>45294</v>
      </c>
      <c r="C28">
        <f ca="1"/>
        <v>436</v>
      </c>
    </row>
    <row r="29" spans="1:6" x14ac:dyDescent="0.3">
      <c r="B29" s="9">
        <v>45295</v>
      </c>
      <c r="C29">
        <f ca="1"/>
        <v>475</v>
      </c>
    </row>
    <row r="30" spans="1:6" x14ac:dyDescent="0.3">
      <c r="B30" s="9">
        <v>45296</v>
      </c>
      <c r="C30">
        <f ca="1"/>
        <v>689</v>
      </c>
    </row>
    <row r="31" spans="1:6" x14ac:dyDescent="0.3">
      <c r="B31" s="9">
        <v>45297</v>
      </c>
      <c r="C31">
        <f ca="1"/>
        <v>904</v>
      </c>
    </row>
    <row r="32" spans="1:6" x14ac:dyDescent="0.3">
      <c r="B32" s="9">
        <v>45298</v>
      </c>
      <c r="C32">
        <f ca="1"/>
        <v>65</v>
      </c>
    </row>
  </sheetData>
  <mergeCells count="1">
    <mergeCell ref="B24:C24"/>
  </mergeCells>
  <phoneticPr fontId="5" type="noConversion"/>
  <conditionalFormatting sqref="D3:D15">
    <cfRule type="cellIs" dxfId="2" priority="2" operator="lessThan">
      <formula>532.5</formula>
    </cfRule>
  </conditionalFormatting>
  <conditionalFormatting sqref="E3:E15">
    <cfRule type="cellIs" dxfId="1" priority="1" operator="equal">
      <formula>"no"</formula>
    </cfRule>
    <cfRule type="cellIs" dxfId="0" priority="3" operator="lessThan">
      <formula>500</formula>
    </cfRule>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7ADC8-CF2D-4D27-8061-DF02278FBC9C}">
  <dimension ref="A1:W36"/>
  <sheetViews>
    <sheetView workbookViewId="0">
      <selection activeCell="M13" sqref="M13"/>
    </sheetView>
  </sheetViews>
  <sheetFormatPr defaultRowHeight="14.4" x14ac:dyDescent="0.3"/>
  <cols>
    <col min="1" max="1" width="11.77734375" customWidth="1"/>
    <col min="2" max="2" width="10.88671875" customWidth="1"/>
  </cols>
  <sheetData>
    <row r="1" spans="1:3" x14ac:dyDescent="0.3">
      <c r="A1" s="13" t="s">
        <v>31</v>
      </c>
      <c r="B1" s="13" t="s">
        <v>32</v>
      </c>
      <c r="C1" s="13" t="s">
        <v>33</v>
      </c>
    </row>
    <row r="2" spans="1:3" x14ac:dyDescent="0.3">
      <c r="A2" t="s">
        <v>34</v>
      </c>
      <c r="B2">
        <v>100</v>
      </c>
      <c r="C2">
        <v>24</v>
      </c>
    </row>
    <row r="3" spans="1:3" x14ac:dyDescent="0.3">
      <c r="A3" t="s">
        <v>35</v>
      </c>
      <c r="B3">
        <v>80</v>
      </c>
      <c r="C3">
        <v>20</v>
      </c>
    </row>
    <row r="4" spans="1:3" x14ac:dyDescent="0.3">
      <c r="A4" t="s">
        <v>36</v>
      </c>
      <c r="B4">
        <v>70</v>
      </c>
      <c r="C4">
        <v>10</v>
      </c>
    </row>
    <row r="5" spans="1:3" x14ac:dyDescent="0.3">
      <c r="A5" t="s">
        <v>37</v>
      </c>
      <c r="B5">
        <v>200</v>
      </c>
      <c r="C5">
        <v>40</v>
      </c>
    </row>
    <row r="6" spans="1:3" x14ac:dyDescent="0.3">
      <c r="A6" t="s">
        <v>38</v>
      </c>
      <c r="B6">
        <v>150</v>
      </c>
      <c r="C6">
        <v>25</v>
      </c>
    </row>
    <row r="7" spans="1:3" x14ac:dyDescent="0.3">
      <c r="A7" t="s">
        <v>39</v>
      </c>
      <c r="B7">
        <v>500</v>
      </c>
      <c r="C7">
        <v>49</v>
      </c>
    </row>
    <row r="8" spans="1:3" x14ac:dyDescent="0.3">
      <c r="A8" t="s">
        <v>116</v>
      </c>
      <c r="B8">
        <v>600</v>
      </c>
      <c r="C8">
        <v>34</v>
      </c>
    </row>
    <row r="22" spans="2:23" ht="15.6" x14ac:dyDescent="0.3">
      <c r="G22" s="44" t="s">
        <v>59</v>
      </c>
      <c r="H22" s="44" t="s">
        <v>60</v>
      </c>
      <c r="I22" s="44" t="s">
        <v>109</v>
      </c>
      <c r="J22" s="44"/>
      <c r="K22" s="44" t="s">
        <v>69</v>
      </c>
      <c r="L22" s="44" t="s">
        <v>70</v>
      </c>
      <c r="M22" s="44" t="s">
        <v>110</v>
      </c>
      <c r="N22" s="44" t="s">
        <v>111</v>
      </c>
      <c r="O22" s="44" t="s">
        <v>74</v>
      </c>
      <c r="P22" s="44" t="s">
        <v>75</v>
      </c>
      <c r="Q22" s="44"/>
      <c r="R22" s="44"/>
      <c r="S22" s="44" t="s">
        <v>112</v>
      </c>
      <c r="T22" s="44"/>
      <c r="U22" s="44"/>
      <c r="V22" s="44" t="s">
        <v>113</v>
      </c>
      <c r="W22" s="44"/>
    </row>
    <row r="24" spans="2:23" x14ac:dyDescent="0.3">
      <c r="M24" t="s">
        <v>26</v>
      </c>
      <c r="N24" t="s">
        <v>26</v>
      </c>
      <c r="O24" t="s">
        <v>74</v>
      </c>
      <c r="P24" s="15" t="s">
        <v>75</v>
      </c>
      <c r="Q24" s="15"/>
      <c r="R24" s="15"/>
      <c r="S24" s="15" t="s">
        <v>77</v>
      </c>
      <c r="T24" s="15"/>
      <c r="V24" s="27" t="s">
        <v>79</v>
      </c>
    </row>
    <row r="25" spans="2:23" x14ac:dyDescent="0.3">
      <c r="B25" s="16" t="s">
        <v>40</v>
      </c>
      <c r="C25" s="16" t="s">
        <v>41</v>
      </c>
      <c r="D25" s="16" t="s">
        <v>42</v>
      </c>
      <c r="E25" s="16" t="s">
        <v>43</v>
      </c>
      <c r="F25" s="18" t="s">
        <v>44</v>
      </c>
      <c r="G25" s="14" t="s">
        <v>59</v>
      </c>
      <c r="H25" s="15" t="s">
        <v>60</v>
      </c>
      <c r="I25" s="20" t="s">
        <v>68</v>
      </c>
      <c r="J25" s="20"/>
      <c r="K25" s="18" t="s">
        <v>69</v>
      </c>
      <c r="L25" s="24" t="s">
        <v>70</v>
      </c>
      <c r="M25" s="22" t="s">
        <v>71</v>
      </c>
      <c r="N25" s="23" t="s">
        <v>72</v>
      </c>
      <c r="O25" s="25" t="s">
        <v>73</v>
      </c>
      <c r="P25" s="26" t="s">
        <v>76</v>
      </c>
      <c r="Q25" s="26"/>
      <c r="R25" s="26"/>
      <c r="S25" s="26" t="s">
        <v>78</v>
      </c>
      <c r="T25" s="26"/>
      <c r="U25" s="26"/>
      <c r="V25" t="str">
        <f>_xlfn.CONCAT(C26,D26)</f>
        <v>JEANS6</v>
      </c>
    </row>
    <row r="26" spans="2:23" x14ac:dyDescent="0.3">
      <c r="B26" s="17" t="s">
        <v>45</v>
      </c>
      <c r="C26" s="17" t="s">
        <v>49</v>
      </c>
      <c r="D26" s="17">
        <v>6</v>
      </c>
      <c r="E26" s="17">
        <v>456</v>
      </c>
      <c r="F26" s="19">
        <f>PRODUCT(D26,E26)</f>
        <v>2736</v>
      </c>
      <c r="G26">
        <f>MAX(E26:E36)</f>
        <v>876</v>
      </c>
      <c r="H26">
        <f>MIN(E26:E36)</f>
        <v>287</v>
      </c>
      <c r="I26" s="21">
        <v>5</v>
      </c>
      <c r="J26" s="21"/>
      <c r="K26" s="10">
        <f>COUNT(D25:D36)</f>
        <v>11</v>
      </c>
      <c r="L26" s="10">
        <f>COUNTA(C26:C36)</f>
        <v>11</v>
      </c>
      <c r="M26">
        <f>AVERAGE(E26:E36)</f>
        <v>543.5454545454545</v>
      </c>
      <c r="N26">
        <f>AVERAGE(F26:F36)</f>
        <v>3101.4545454545455</v>
      </c>
      <c r="O26" s="10" t="str">
        <f>PROPER(C26)</f>
        <v>Jeans</v>
      </c>
      <c r="P26" t="str">
        <f>LOWER(C26)</f>
        <v>jeans</v>
      </c>
      <c r="S26" t="str">
        <f>UPPER(C26)</f>
        <v>JEANS</v>
      </c>
      <c r="V26" t="str">
        <f t="shared" ref="V26:V36" si="0">_xlfn.CONCAT(C27,D27)</f>
        <v>T-SHIRT4</v>
      </c>
    </row>
    <row r="27" spans="2:23" x14ac:dyDescent="0.3">
      <c r="B27" s="17" t="s">
        <v>66</v>
      </c>
      <c r="C27" s="17" t="s">
        <v>50</v>
      </c>
      <c r="D27" s="17">
        <v>4</v>
      </c>
      <c r="E27" s="17">
        <v>468</v>
      </c>
      <c r="F27" s="19">
        <f t="shared" ref="F27:F36" si="1">PRODUCT(D27,E27)</f>
        <v>1872</v>
      </c>
      <c r="I27" s="21">
        <f t="shared" ref="I27:I36" si="2">LEN(B27)</f>
        <v>7</v>
      </c>
      <c r="J27" s="21"/>
      <c r="L27" s="10">
        <f t="shared" ref="L27:L36" si="3">COUNTA(C27:C37)</f>
        <v>10</v>
      </c>
      <c r="O27" s="10" t="str">
        <f t="shared" ref="O27:O36" si="4">PROPER(C27)</f>
        <v>T-Shirt</v>
      </c>
      <c r="P27" t="str">
        <f t="shared" ref="P27:P36" si="5">LOWER(C27)</f>
        <v>t-shirt</v>
      </c>
      <c r="S27" t="str">
        <f t="shared" ref="S27:S36" si="6">UPPER(C27)</f>
        <v>T-SHIRT</v>
      </c>
      <c r="V27" t="str">
        <f t="shared" si="0"/>
        <v>COAT8</v>
      </c>
    </row>
    <row r="28" spans="2:23" x14ac:dyDescent="0.3">
      <c r="B28" s="17" t="s">
        <v>67</v>
      </c>
      <c r="C28" s="17" t="s">
        <v>51</v>
      </c>
      <c r="D28" s="17">
        <v>8</v>
      </c>
      <c r="E28" s="17">
        <v>654</v>
      </c>
      <c r="F28" s="19">
        <f t="shared" si="1"/>
        <v>5232</v>
      </c>
      <c r="I28" s="21">
        <f t="shared" si="2"/>
        <v>7</v>
      </c>
      <c r="J28" s="21"/>
      <c r="L28" s="10">
        <f t="shared" si="3"/>
        <v>9</v>
      </c>
      <c r="O28" s="10" t="str">
        <f t="shared" si="4"/>
        <v>Coat</v>
      </c>
      <c r="P28" t="str">
        <f t="shared" si="5"/>
        <v>coat</v>
      </c>
      <c r="S28" t="str">
        <f t="shared" si="6"/>
        <v>COAT</v>
      </c>
      <c r="V28" t="str">
        <f t="shared" si="0"/>
        <v>PANTS4</v>
      </c>
    </row>
    <row r="29" spans="2:23" x14ac:dyDescent="0.3">
      <c r="B29" s="17" t="s">
        <v>65</v>
      </c>
      <c r="C29" s="17" t="s">
        <v>52</v>
      </c>
      <c r="D29" s="17">
        <v>4</v>
      </c>
      <c r="E29" s="17">
        <v>444</v>
      </c>
      <c r="F29" s="19">
        <f t="shared" si="1"/>
        <v>1776</v>
      </c>
      <c r="I29" s="21">
        <f t="shared" si="2"/>
        <v>8</v>
      </c>
      <c r="J29" s="21"/>
      <c r="L29" s="10">
        <f t="shared" si="3"/>
        <v>8</v>
      </c>
      <c r="O29" s="10" t="str">
        <f t="shared" si="4"/>
        <v>Pants</v>
      </c>
      <c r="P29" t="str">
        <f t="shared" si="5"/>
        <v>pants</v>
      </c>
      <c r="S29" t="str">
        <f t="shared" si="6"/>
        <v>PANTS</v>
      </c>
      <c r="V29" t="str">
        <f t="shared" si="0"/>
        <v>JEANS7</v>
      </c>
    </row>
    <row r="30" spans="2:23" x14ac:dyDescent="0.3">
      <c r="B30" s="17" t="s">
        <v>46</v>
      </c>
      <c r="C30" s="17" t="s">
        <v>49</v>
      </c>
      <c r="D30" s="17">
        <v>7</v>
      </c>
      <c r="E30" s="17">
        <v>679</v>
      </c>
      <c r="F30" s="19">
        <f t="shared" si="1"/>
        <v>4753</v>
      </c>
      <c r="I30" s="21">
        <f t="shared" si="2"/>
        <v>5</v>
      </c>
      <c r="J30" s="21"/>
      <c r="L30" s="10">
        <f t="shared" si="3"/>
        <v>7</v>
      </c>
      <c r="O30" s="10" t="str">
        <f t="shared" si="4"/>
        <v>Jeans</v>
      </c>
      <c r="P30" t="str">
        <f t="shared" si="5"/>
        <v>jeans</v>
      </c>
      <c r="S30" t="str">
        <f t="shared" si="6"/>
        <v>JEANS</v>
      </c>
      <c r="V30" t="str">
        <f t="shared" si="0"/>
        <v>TROUSER4</v>
      </c>
    </row>
    <row r="31" spans="2:23" x14ac:dyDescent="0.3">
      <c r="B31" s="17" t="s">
        <v>61</v>
      </c>
      <c r="C31" s="17" t="s">
        <v>53</v>
      </c>
      <c r="D31" s="17">
        <v>4</v>
      </c>
      <c r="E31" s="17">
        <v>876</v>
      </c>
      <c r="F31" s="19">
        <f t="shared" si="1"/>
        <v>3504</v>
      </c>
      <c r="I31" s="21">
        <f t="shared" si="2"/>
        <v>6</v>
      </c>
      <c r="J31" s="21"/>
      <c r="L31" s="10">
        <f t="shared" si="3"/>
        <v>6</v>
      </c>
      <c r="O31" s="10" t="str">
        <f t="shared" si="4"/>
        <v>Trouser</v>
      </c>
      <c r="P31" t="str">
        <f t="shared" si="5"/>
        <v>trouser</v>
      </c>
      <c r="S31" t="str">
        <f t="shared" si="6"/>
        <v>TROUSER</v>
      </c>
      <c r="V31" t="str">
        <f t="shared" si="0"/>
        <v>SWEATER3</v>
      </c>
    </row>
    <row r="32" spans="2:23" x14ac:dyDescent="0.3">
      <c r="B32" s="17" t="s">
        <v>47</v>
      </c>
      <c r="C32" s="17" t="s">
        <v>54</v>
      </c>
      <c r="D32" s="17">
        <v>3</v>
      </c>
      <c r="E32" s="17">
        <v>528</v>
      </c>
      <c r="F32" s="19">
        <f t="shared" si="1"/>
        <v>1584</v>
      </c>
      <c r="I32" s="21">
        <f t="shared" si="2"/>
        <v>5</v>
      </c>
      <c r="J32" s="21"/>
      <c r="L32" s="10">
        <f t="shared" si="3"/>
        <v>5</v>
      </c>
      <c r="O32" s="10" t="str">
        <f t="shared" si="4"/>
        <v>Sweater</v>
      </c>
      <c r="P32" t="str">
        <f t="shared" si="5"/>
        <v>sweater</v>
      </c>
      <c r="S32" t="str">
        <f t="shared" si="6"/>
        <v>SWEATER</v>
      </c>
      <c r="V32" t="str">
        <f t="shared" si="0"/>
        <v>DRESS2</v>
      </c>
    </row>
    <row r="33" spans="2:22" x14ac:dyDescent="0.3">
      <c r="B33" s="17" t="s">
        <v>62</v>
      </c>
      <c r="C33" s="17" t="s">
        <v>55</v>
      </c>
      <c r="D33" s="17">
        <v>2</v>
      </c>
      <c r="E33" s="17">
        <v>287</v>
      </c>
      <c r="F33" s="19">
        <f t="shared" si="1"/>
        <v>574</v>
      </c>
      <c r="I33" s="21">
        <f t="shared" si="2"/>
        <v>7</v>
      </c>
      <c r="J33" s="21"/>
      <c r="L33" s="10">
        <f t="shared" si="3"/>
        <v>4</v>
      </c>
      <c r="O33" s="10" t="str">
        <f t="shared" si="4"/>
        <v>Dress</v>
      </c>
      <c r="P33" t="str">
        <f t="shared" si="5"/>
        <v>dress</v>
      </c>
      <c r="S33" t="str">
        <f t="shared" si="6"/>
        <v>DRESS</v>
      </c>
      <c r="V33" t="str">
        <f t="shared" si="0"/>
        <v>CHUNNI7</v>
      </c>
    </row>
    <row r="34" spans="2:22" x14ac:dyDescent="0.3">
      <c r="B34" s="17" t="s">
        <v>63</v>
      </c>
      <c r="C34" s="17" t="s">
        <v>56</v>
      </c>
      <c r="D34" s="17">
        <v>7</v>
      </c>
      <c r="E34" s="17">
        <v>584</v>
      </c>
      <c r="F34" s="19">
        <f t="shared" si="1"/>
        <v>4088</v>
      </c>
      <c r="I34" s="21">
        <f t="shared" si="2"/>
        <v>7</v>
      </c>
      <c r="J34" s="21"/>
      <c r="L34" s="10">
        <f t="shared" si="3"/>
        <v>3</v>
      </c>
      <c r="O34" s="10" t="str">
        <f t="shared" si="4"/>
        <v>Chunni</v>
      </c>
      <c r="P34" t="str">
        <f t="shared" si="5"/>
        <v>chunni</v>
      </c>
      <c r="S34" t="str">
        <f t="shared" si="6"/>
        <v>CHUNNI</v>
      </c>
      <c r="V34" t="str">
        <f t="shared" si="0"/>
        <v>HAT9</v>
      </c>
    </row>
    <row r="35" spans="2:22" x14ac:dyDescent="0.3">
      <c r="B35" s="17" t="s">
        <v>64</v>
      </c>
      <c r="C35" s="17" t="s">
        <v>57</v>
      </c>
      <c r="D35" s="17">
        <v>9</v>
      </c>
      <c r="E35" s="17">
        <v>488</v>
      </c>
      <c r="F35" s="19">
        <f t="shared" si="1"/>
        <v>4392</v>
      </c>
      <c r="I35" s="21">
        <f t="shared" si="2"/>
        <v>6</v>
      </c>
      <c r="J35" s="21"/>
      <c r="L35" s="10">
        <f t="shared" si="3"/>
        <v>2</v>
      </c>
      <c r="O35" s="10" t="str">
        <f t="shared" si="4"/>
        <v>Hat</v>
      </c>
      <c r="P35" t="str">
        <f t="shared" si="5"/>
        <v>hat</v>
      </c>
      <c r="S35" t="str">
        <f t="shared" si="6"/>
        <v>HAT</v>
      </c>
      <c r="V35" t="str">
        <f t="shared" si="0"/>
        <v>BAG7</v>
      </c>
    </row>
    <row r="36" spans="2:22" x14ac:dyDescent="0.3">
      <c r="B36" s="17" t="s">
        <v>48</v>
      </c>
      <c r="C36" s="17" t="s">
        <v>58</v>
      </c>
      <c r="D36" s="17">
        <v>7</v>
      </c>
      <c r="E36" s="17">
        <v>515</v>
      </c>
      <c r="F36" s="19">
        <f t="shared" si="1"/>
        <v>3605</v>
      </c>
      <c r="I36" s="21">
        <f t="shared" si="2"/>
        <v>5</v>
      </c>
      <c r="J36" s="21"/>
      <c r="L36" s="10">
        <f t="shared" si="3"/>
        <v>1</v>
      </c>
      <c r="O36" s="10" t="str">
        <f t="shared" si="4"/>
        <v>Bag</v>
      </c>
      <c r="P36" t="str">
        <f t="shared" si="5"/>
        <v>bag</v>
      </c>
      <c r="S36" t="str">
        <f t="shared" si="6"/>
        <v>BAG</v>
      </c>
      <c r="V36" t="str">
        <f t="shared" si="0"/>
        <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E3B7-604F-48A9-8003-BE56083B4979}">
  <dimension ref="C4:R34"/>
  <sheetViews>
    <sheetView workbookViewId="0">
      <selection activeCell="I14" sqref="I14"/>
    </sheetView>
  </sheetViews>
  <sheetFormatPr defaultRowHeight="14.4" x14ac:dyDescent="0.3"/>
  <cols>
    <col min="3" max="5" width="10.44140625" customWidth="1"/>
    <col min="6" max="6" width="10.109375" customWidth="1"/>
    <col min="10" max="10" width="15.44140625" bestFit="1" customWidth="1"/>
    <col min="11" max="12" width="10.44140625" customWidth="1"/>
    <col min="13" max="13" width="10.33203125" bestFit="1" customWidth="1"/>
  </cols>
  <sheetData>
    <row r="4" spans="3:17" ht="21" x14ac:dyDescent="0.4">
      <c r="H4" s="42" t="s">
        <v>90</v>
      </c>
      <c r="J4" s="42" t="s">
        <v>91</v>
      </c>
      <c r="L4" s="42" t="s">
        <v>92</v>
      </c>
      <c r="N4" s="42" t="s">
        <v>94</v>
      </c>
      <c r="O4" s="42" t="s">
        <v>95</v>
      </c>
      <c r="Q4" s="42" t="s">
        <v>106</v>
      </c>
    </row>
    <row r="5" spans="3:17" x14ac:dyDescent="0.3">
      <c r="C5" s="29" t="s">
        <v>21</v>
      </c>
      <c r="D5" s="29" t="s">
        <v>22</v>
      </c>
      <c r="E5" s="29" t="s">
        <v>23</v>
      </c>
      <c r="F5" s="30" t="s">
        <v>24</v>
      </c>
    </row>
    <row r="6" spans="3:17" x14ac:dyDescent="0.3">
      <c r="C6" s="29" t="s">
        <v>41</v>
      </c>
      <c r="D6" s="29"/>
      <c r="E6" s="29" t="s">
        <v>80</v>
      </c>
      <c r="F6" s="30" t="s">
        <v>93</v>
      </c>
      <c r="H6" s="31" t="s">
        <v>90</v>
      </c>
      <c r="J6" s="32" t="s">
        <v>91</v>
      </c>
      <c r="L6" s="33" t="s">
        <v>92</v>
      </c>
      <c r="N6" s="34" t="s">
        <v>94</v>
      </c>
      <c r="O6" s="35" t="s">
        <v>95</v>
      </c>
      <c r="Q6" s="36" t="s">
        <v>96</v>
      </c>
    </row>
    <row r="7" spans="3:17" x14ac:dyDescent="0.3">
      <c r="C7" s="10" t="s">
        <v>81</v>
      </c>
      <c r="D7" s="10"/>
      <c r="E7" s="10">
        <v>1700</v>
      </c>
      <c r="F7" s="10" t="str">
        <f>IF(E13&gt;=1400,"HIGH PRICE","LOW PRICE")</f>
        <v>HIGH PRICE</v>
      </c>
      <c r="H7">
        <f>LARGE(E7:E15,2)</f>
        <v>20222</v>
      </c>
      <c r="J7">
        <f>SMALL(E7:E15,2)</f>
        <v>400</v>
      </c>
      <c r="L7" t="str" cm="1">
        <f t="array" ref="L7:L15">ROMAN(E7:E15,1)</f>
        <v>MDCC</v>
      </c>
      <c r="N7" t="str" cm="1">
        <f t="array" ref="N7:N15">LEFT(C7:C15,4)</f>
        <v>wash</v>
      </c>
      <c r="O7" t="str" cm="1">
        <f t="array" ref="O7:O15">RIGHT(C7:C15,6)</f>
        <v>achine</v>
      </c>
      <c r="Q7">
        <f>COUNTBLANK(E7:E15)</f>
        <v>0</v>
      </c>
    </row>
    <row r="8" spans="3:17" x14ac:dyDescent="0.3">
      <c r="C8" s="10" t="s">
        <v>82</v>
      </c>
      <c r="D8" s="10"/>
      <c r="E8" s="10">
        <v>1400</v>
      </c>
      <c r="F8" s="10" t="str">
        <f t="shared" ref="F8:F15" si="0">IF(E14&gt;=1400,"HIGH PRICE","LOW PRICE")</f>
        <v>LOW PRICE</v>
      </c>
      <c r="L8" t="str">
        <v>MCD</v>
      </c>
      <c r="N8" t="str">
        <v>uten</v>
      </c>
      <c r="O8" t="str">
        <v>ensils</v>
      </c>
    </row>
    <row r="9" spans="3:17" x14ac:dyDescent="0.3">
      <c r="C9" s="10" t="s">
        <v>83</v>
      </c>
      <c r="D9" s="10"/>
      <c r="E9" s="10">
        <v>20222</v>
      </c>
      <c r="F9" s="10" t="str">
        <f t="shared" si="0"/>
        <v>HIGH PRICE</v>
      </c>
      <c r="L9" t="e">
        <v>#VALUE!</v>
      </c>
      <c r="N9" t="str">
        <v>silv</v>
      </c>
      <c r="O9" t="str">
        <v>silver</v>
      </c>
    </row>
    <row r="10" spans="3:17" x14ac:dyDescent="0.3">
      <c r="C10" s="10" t="s">
        <v>84</v>
      </c>
      <c r="D10" s="10"/>
      <c r="E10" s="10">
        <v>100000</v>
      </c>
      <c r="F10" s="10" t="str">
        <f t="shared" si="0"/>
        <v>LOW PRICE</v>
      </c>
      <c r="L10" t="e">
        <v>#VALUE!</v>
      </c>
      <c r="N10" t="str">
        <v>gold</v>
      </c>
      <c r="O10" t="str">
        <v>gold</v>
      </c>
    </row>
    <row r="11" spans="3:17" x14ac:dyDescent="0.3">
      <c r="C11" s="10" t="s">
        <v>85</v>
      </c>
      <c r="D11" s="10"/>
      <c r="E11" s="10">
        <v>150</v>
      </c>
      <c r="F11" s="10" t="str">
        <f t="shared" si="0"/>
        <v>LOW PRICE</v>
      </c>
      <c r="L11" t="str">
        <v>CL</v>
      </c>
      <c r="N11" t="str">
        <v>suga</v>
      </c>
      <c r="O11" t="str">
        <v>sugar</v>
      </c>
    </row>
    <row r="12" spans="3:17" x14ac:dyDescent="0.3">
      <c r="C12" s="10" t="s">
        <v>86</v>
      </c>
      <c r="D12" s="10"/>
      <c r="E12" s="10">
        <v>500</v>
      </c>
      <c r="F12" s="10" t="str">
        <f t="shared" si="0"/>
        <v>LOW PRICE</v>
      </c>
      <c r="L12" t="str">
        <v>D</v>
      </c>
      <c r="N12" t="str">
        <v>curd</v>
      </c>
      <c r="O12" t="str">
        <v>curd</v>
      </c>
    </row>
    <row r="13" spans="3:17" x14ac:dyDescent="0.3">
      <c r="C13" s="10" t="s">
        <v>87</v>
      </c>
      <c r="D13" s="10"/>
      <c r="E13" s="10">
        <v>1400</v>
      </c>
      <c r="F13" s="10" t="str">
        <f t="shared" si="0"/>
        <v>LOW PRICE</v>
      </c>
      <c r="L13" t="str">
        <v>MCD</v>
      </c>
      <c r="N13" t="str">
        <v>bags</v>
      </c>
      <c r="O13" t="str">
        <v>bags</v>
      </c>
    </row>
    <row r="14" spans="3:17" x14ac:dyDescent="0.3">
      <c r="C14" s="10" t="s">
        <v>88</v>
      </c>
      <c r="D14" s="10"/>
      <c r="E14" s="10">
        <v>400</v>
      </c>
      <c r="F14" s="10" t="str">
        <f t="shared" si="0"/>
        <v>LOW PRICE</v>
      </c>
      <c r="L14" t="str">
        <v>CD</v>
      </c>
      <c r="N14" t="str">
        <v>jagg</v>
      </c>
      <c r="O14" t="str">
        <v>aggery</v>
      </c>
    </row>
    <row r="15" spans="3:17" x14ac:dyDescent="0.3">
      <c r="C15" s="10" t="s">
        <v>89</v>
      </c>
      <c r="D15" s="10"/>
      <c r="E15" s="10">
        <v>1500</v>
      </c>
      <c r="F15" s="10" t="str">
        <f t="shared" si="0"/>
        <v>LOW PRICE</v>
      </c>
      <c r="L15" t="str">
        <v>MD</v>
      </c>
      <c r="N15" t="str">
        <v>turm</v>
      </c>
      <c r="O15" t="str">
        <v>rmeric</v>
      </c>
    </row>
    <row r="18" spans="10:18" ht="21" x14ac:dyDescent="0.4">
      <c r="J18" s="43" t="s">
        <v>97</v>
      </c>
      <c r="K18" s="43"/>
      <c r="L18" s="43" t="s">
        <v>107</v>
      </c>
      <c r="M18" s="43"/>
      <c r="N18" s="43"/>
      <c r="O18" s="43" t="s">
        <v>102</v>
      </c>
      <c r="P18" s="43"/>
      <c r="Q18" s="43" t="s">
        <v>103</v>
      </c>
      <c r="R18" s="43"/>
    </row>
    <row r="19" spans="10:18" x14ac:dyDescent="0.3">
      <c r="L19" s="39" t="s">
        <v>98</v>
      </c>
      <c r="M19" s="39" t="s">
        <v>1</v>
      </c>
      <c r="O19" s="28" t="s">
        <v>102</v>
      </c>
      <c r="Q19" s="28" t="s">
        <v>103</v>
      </c>
    </row>
    <row r="20" spans="10:18" x14ac:dyDescent="0.3">
      <c r="J20" s="37" t="s">
        <v>97</v>
      </c>
      <c r="L20" t="s">
        <v>99</v>
      </c>
      <c r="M20" s="9">
        <f ca="1">TODAY()-1</f>
        <v>46196</v>
      </c>
      <c r="O20" s="40">
        <f>TIME(10,5,52)</f>
        <v>0.42074074074074075</v>
      </c>
      <c r="Q20">
        <f>MONTH(7)</f>
        <v>1</v>
      </c>
    </row>
    <row r="21" spans="10:18" x14ac:dyDescent="0.3">
      <c r="J21" s="38">
        <f ca="1">NOW()</f>
        <v>46197.46622858796</v>
      </c>
      <c r="L21" t="s">
        <v>100</v>
      </c>
      <c r="M21" s="9">
        <f ca="1">TODAY()</f>
        <v>46197</v>
      </c>
      <c r="O21" s="40">
        <f>TIME(13,13,13)</f>
        <v>0.55084490740740744</v>
      </c>
    </row>
    <row r="22" spans="10:18" x14ac:dyDescent="0.3">
      <c r="L22" t="s">
        <v>101</v>
      </c>
      <c r="M22" s="9">
        <f ca="1">TODAY()+1</f>
        <v>46198</v>
      </c>
    </row>
    <row r="25" spans="10:18" ht="21" x14ac:dyDescent="0.4">
      <c r="J25" s="42" t="s">
        <v>108</v>
      </c>
      <c r="K25" s="42"/>
      <c r="L25" s="42"/>
    </row>
    <row r="27" spans="10:18" x14ac:dyDescent="0.3">
      <c r="J27" s="41" t="s">
        <v>21</v>
      </c>
      <c r="K27" s="41" t="s">
        <v>22</v>
      </c>
      <c r="L27" s="41" t="s">
        <v>23</v>
      </c>
    </row>
    <row r="28" spans="10:18" x14ac:dyDescent="0.3">
      <c r="J28" s="41" t="s">
        <v>105</v>
      </c>
      <c r="K28" s="41"/>
      <c r="L28" s="41" t="s">
        <v>104</v>
      </c>
    </row>
    <row r="29" spans="10:18" x14ac:dyDescent="0.3">
      <c r="J29">
        <v>30</v>
      </c>
      <c r="L29">
        <f>MONTH(J29)</f>
        <v>1</v>
      </c>
    </row>
    <row r="30" spans="10:18" x14ac:dyDescent="0.3">
      <c r="J30">
        <v>60</v>
      </c>
      <c r="L30">
        <f t="shared" ref="L30:L34" si="1">MONTH(J30)</f>
        <v>2</v>
      </c>
    </row>
    <row r="31" spans="10:18" x14ac:dyDescent="0.3">
      <c r="J31">
        <v>90</v>
      </c>
      <c r="L31">
        <f t="shared" si="1"/>
        <v>3</v>
      </c>
    </row>
    <row r="32" spans="10:18" x14ac:dyDescent="0.3">
      <c r="J32">
        <v>150</v>
      </c>
      <c r="L32">
        <f t="shared" si="1"/>
        <v>5</v>
      </c>
    </row>
    <row r="33" spans="10:12" x14ac:dyDescent="0.3">
      <c r="J33">
        <v>180</v>
      </c>
      <c r="L33">
        <f t="shared" si="1"/>
        <v>6</v>
      </c>
    </row>
    <row r="34" spans="10:12" x14ac:dyDescent="0.3">
      <c r="J34">
        <v>365</v>
      </c>
      <c r="L34">
        <f t="shared" si="1"/>
        <v>12</v>
      </c>
    </row>
  </sheetData>
  <pageMargins left="0.7" right="0.7" top="0.75" bottom="0.75" header="0.3" footer="0.3"/>
  <drawing r:id="rId1"/>
  <tableParts count="3">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basic</vt:lpstr>
      <vt:lpstr>live modify chart</vt:lpstr>
      <vt:lpstr>CALENDER IN EXCEL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palvai</dc:creator>
  <cp:lastModifiedBy>sai palvai</cp:lastModifiedBy>
  <dcterms:created xsi:type="dcterms:W3CDTF">2025-06-10T04:28:08Z</dcterms:created>
  <dcterms:modified xsi:type="dcterms:W3CDTF">2026-06-24T05:41:22Z</dcterms:modified>
</cp:coreProperties>
</file>